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el\Downloads\Jig resistivo\"/>
    </mc:Choice>
  </mc:AlternateContent>
  <xr:revisionPtr revIDLastSave="0" documentId="8_{52BF9F76-5E6A-4B07-9B24-E3F9AAA812CB}" xr6:coauthVersionLast="47" xr6:coauthVersionMax="47" xr10:uidLastSave="{00000000-0000-0000-0000-000000000000}"/>
  <bookViews>
    <workbookView xWindow="-120" yWindow="-120" windowWidth="29040" windowHeight="15720" xr2:uid="{AB6CA22B-47ED-44AC-98CB-23E00439EEA1}"/>
  </bookViews>
  <sheets>
    <sheet name="Dado Bruto" sheetId="4" r:id="rId1"/>
    <sheet name="Dados processados" sheetId="5" r:id="rId2"/>
    <sheet name="Sheet1" sheetId="10" r:id="rId3"/>
    <sheet name="CONFIGURACAO" sheetId="6" r:id="rId4"/>
    <sheet name="Acurácia" sheetId="7" r:id="rId5"/>
    <sheet name="DP" sheetId="8" r:id="rId6"/>
    <sheet name="DP2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06" i="5" l="1"/>
  <c r="F92" i="5"/>
  <c r="F78" i="5"/>
  <c r="E78" i="5"/>
  <c r="F64" i="5"/>
  <c r="E64" i="5"/>
  <c r="F50" i="5"/>
  <c r="E50" i="5"/>
  <c r="F36" i="5"/>
  <c r="E36" i="5"/>
  <c r="F23" i="5"/>
  <c r="E23" i="5"/>
  <c r="F10" i="5"/>
  <c r="E10" i="5"/>
  <c r="E106" i="5" l="1"/>
  <c r="E92" i="5"/>
  <c r="Z80" i="5"/>
  <c r="AG108" i="5"/>
  <c r="AF108" i="5"/>
  <c r="AD108" i="5"/>
  <c r="AC108" i="5"/>
  <c r="AA108" i="5"/>
  <c r="Z108" i="5"/>
  <c r="X108" i="5"/>
  <c r="W108" i="5"/>
  <c r="U108" i="5"/>
  <c r="T108" i="5"/>
  <c r="R108" i="5"/>
  <c r="Q108" i="5"/>
  <c r="O108" i="5"/>
  <c r="N108" i="5"/>
  <c r="L108" i="5"/>
  <c r="K108" i="5"/>
  <c r="AG94" i="5"/>
  <c r="AF94" i="5"/>
  <c r="AD94" i="5"/>
  <c r="AC94" i="5"/>
  <c r="AA94" i="5"/>
  <c r="Z94" i="5"/>
  <c r="X94" i="5"/>
  <c r="W94" i="5"/>
  <c r="U94" i="5"/>
  <c r="T94" i="5"/>
  <c r="R94" i="5"/>
  <c r="Q94" i="5"/>
  <c r="O94" i="5"/>
  <c r="N94" i="5"/>
  <c r="L94" i="5"/>
  <c r="K94" i="5"/>
  <c r="AG80" i="5"/>
  <c r="AF80" i="5"/>
  <c r="AD80" i="5"/>
  <c r="AC80" i="5"/>
  <c r="AA80" i="5"/>
  <c r="X80" i="5"/>
  <c r="W80" i="5"/>
  <c r="U80" i="5"/>
  <c r="T80" i="5"/>
  <c r="R80" i="5"/>
  <c r="Q80" i="5"/>
  <c r="O80" i="5"/>
  <c r="N80" i="5"/>
  <c r="L80" i="5"/>
  <c r="K80" i="5"/>
  <c r="AG66" i="5"/>
  <c r="AF66" i="5"/>
  <c r="AD66" i="5"/>
  <c r="AC66" i="5"/>
  <c r="AA66" i="5"/>
  <c r="Z66" i="5"/>
  <c r="X66" i="5"/>
  <c r="W66" i="5"/>
  <c r="U66" i="5"/>
  <c r="T66" i="5"/>
  <c r="R66" i="5"/>
  <c r="Q66" i="5"/>
  <c r="O66" i="5"/>
  <c r="N66" i="5"/>
  <c r="L66" i="5"/>
  <c r="K66" i="5"/>
  <c r="AG52" i="5"/>
  <c r="AF52" i="5"/>
  <c r="AD52" i="5"/>
  <c r="AC52" i="5"/>
  <c r="AA52" i="5"/>
  <c r="Z52" i="5"/>
  <c r="X52" i="5"/>
  <c r="W52" i="5"/>
  <c r="U52" i="5"/>
  <c r="T52" i="5"/>
  <c r="R52" i="5"/>
  <c r="Q52" i="5"/>
  <c r="O52" i="5"/>
  <c r="N52" i="5"/>
  <c r="L52" i="5"/>
  <c r="K52" i="5"/>
  <c r="B56" i="5" a="1"/>
  <c r="B56" i="5" s="1"/>
  <c r="AG38" i="5"/>
  <c r="AF38" i="5"/>
  <c r="AD38" i="5"/>
  <c r="AC38" i="5"/>
  <c r="AA38" i="5"/>
  <c r="Z38" i="5"/>
  <c r="X38" i="5"/>
  <c r="W38" i="5"/>
  <c r="U38" i="5"/>
  <c r="T38" i="5"/>
  <c r="R38" i="5"/>
  <c r="Q38" i="5"/>
  <c r="O38" i="5"/>
  <c r="N38" i="5"/>
  <c r="L38" i="5"/>
  <c r="K38" i="5"/>
  <c r="AG25" i="5"/>
  <c r="AF25" i="5"/>
  <c r="AD25" i="5"/>
  <c r="AC25" i="5"/>
  <c r="AA25" i="5"/>
  <c r="Z25" i="5"/>
  <c r="X25" i="5"/>
  <c r="W25" i="5"/>
  <c r="U25" i="5"/>
  <c r="T25" i="5"/>
  <c r="R25" i="5"/>
  <c r="Q25" i="5"/>
  <c r="O25" i="5"/>
  <c r="N25" i="5"/>
  <c r="L25" i="5"/>
  <c r="K25" i="5"/>
  <c r="AG12" i="5"/>
  <c r="AF12" i="5"/>
  <c r="AD12" i="5"/>
  <c r="AC12" i="5"/>
  <c r="AA12" i="5"/>
  <c r="Z12" i="5"/>
  <c r="X12" i="5"/>
  <c r="W12" i="5"/>
  <c r="U12" i="5"/>
  <c r="T12" i="5"/>
  <c r="R12" i="5"/>
  <c r="Q12" i="5"/>
  <c r="O12" i="5"/>
  <c r="N12" i="5"/>
  <c r="L12" i="5"/>
  <c r="K12" i="5"/>
  <c r="B98" i="5" a="1"/>
  <c r="B98" i="5" s="1"/>
  <c r="B84" i="5" a="1"/>
  <c r="B84" i="5" s="1"/>
  <c r="B70" i="5" a="1"/>
  <c r="B70" i="5" s="1"/>
  <c r="B42" i="5" a="1"/>
  <c r="B42" i="5" s="1"/>
  <c r="B28" i="5" a="1"/>
  <c r="B28" i="5" s="1"/>
  <c r="B15" i="5" a="1"/>
  <c r="B15" i="5" s="1"/>
  <c r="B2" i="5" a="1"/>
  <c r="B2" i="5" s="1"/>
  <c r="A2" i="4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H7" i="9"/>
  <c r="AH9" i="9"/>
  <c r="AH11" i="9"/>
  <c r="AH13" i="9"/>
  <c r="AH15" i="9"/>
  <c r="AH17" i="9"/>
  <c r="AH19" i="9"/>
  <c r="AG7" i="9"/>
  <c r="AG9" i="9"/>
  <c r="AG11" i="9"/>
  <c r="AG13" i="9"/>
  <c r="AG15" i="9"/>
  <c r="AG17" i="9"/>
  <c r="AG19" i="9"/>
  <c r="AF7" i="9"/>
  <c r="AF9" i="9"/>
  <c r="AF11" i="9"/>
  <c r="AF13" i="9"/>
  <c r="AF15" i="9"/>
  <c r="AF17" i="9"/>
  <c r="AF19" i="9"/>
  <c r="AE7" i="9"/>
  <c r="AE9" i="9"/>
  <c r="AE11" i="9"/>
  <c r="AE13" i="9"/>
  <c r="AE15" i="9"/>
  <c r="AE17" i="9"/>
  <c r="AE19" i="9"/>
  <c r="AH5" i="9"/>
  <c r="AG5" i="9"/>
  <c r="AF5" i="9"/>
  <c r="AE5" i="9"/>
  <c r="AD62" i="5" l="1"/>
  <c r="L76" i="5"/>
  <c r="AC47" i="5"/>
  <c r="N76" i="5"/>
  <c r="W89" i="5"/>
  <c r="T90" i="5"/>
  <c r="AC103" i="5"/>
  <c r="Z104" i="5"/>
  <c r="AA47" i="5"/>
  <c r="U33" i="5"/>
  <c r="N21" i="5"/>
  <c r="E62" i="5"/>
  <c r="O21" i="5"/>
  <c r="T75" i="5"/>
  <c r="K62" i="5"/>
  <c r="AD104" i="5"/>
  <c r="N8" i="5"/>
  <c r="AF7" i="5"/>
  <c r="W20" i="5"/>
  <c r="T21" i="5"/>
  <c r="AC33" i="5"/>
  <c r="Z34" i="5"/>
  <c r="K47" i="5"/>
  <c r="E48" i="5"/>
  <c r="AF48" i="5"/>
  <c r="Q61" i="5"/>
  <c r="Q65" i="5" s="1"/>
  <c r="N62" i="5"/>
  <c r="W75" i="5"/>
  <c r="T76" i="5"/>
  <c r="AC89" i="5"/>
  <c r="Z90" i="5"/>
  <c r="K103" i="5"/>
  <c r="E104" i="5"/>
  <c r="AF104" i="5"/>
  <c r="R34" i="5"/>
  <c r="U89" i="5"/>
  <c r="Q20" i="5"/>
  <c r="K61" i="5"/>
  <c r="R20" i="5"/>
  <c r="F62" i="5"/>
  <c r="X89" i="5"/>
  <c r="AF47" i="5"/>
  <c r="W90" i="5"/>
  <c r="R76" i="5"/>
  <c r="AD7" i="5"/>
  <c r="X20" i="5"/>
  <c r="U21" i="5"/>
  <c r="AD33" i="5"/>
  <c r="AA34" i="5"/>
  <c r="L47" i="5"/>
  <c r="F48" i="5"/>
  <c r="AG48" i="5"/>
  <c r="R61" i="5"/>
  <c r="O62" i="5"/>
  <c r="X75" i="5"/>
  <c r="U76" i="5"/>
  <c r="AD89" i="5"/>
  <c r="AA90" i="5"/>
  <c r="L103" i="5"/>
  <c r="F104" i="5"/>
  <c r="AG104" i="5"/>
  <c r="AC7" i="5"/>
  <c r="Z20" i="5"/>
  <c r="W21" i="5"/>
  <c r="E33" i="5"/>
  <c r="AF33" i="5"/>
  <c r="AC34" i="5"/>
  <c r="N47" i="5"/>
  <c r="K48" i="5"/>
  <c r="T61" i="5"/>
  <c r="Q62" i="5"/>
  <c r="Z75" i="5"/>
  <c r="W76" i="5"/>
  <c r="E89" i="5"/>
  <c r="AF89" i="5"/>
  <c r="AC90" i="5"/>
  <c r="N103" i="5"/>
  <c r="K104" i="5"/>
  <c r="X34" i="5"/>
  <c r="U75" i="5"/>
  <c r="AG33" i="5"/>
  <c r="O47" i="5"/>
  <c r="R62" i="5"/>
  <c r="AA75" i="5"/>
  <c r="X76" i="5"/>
  <c r="F89" i="5"/>
  <c r="F95" i="5" s="1"/>
  <c r="AG89" i="5"/>
  <c r="AD90" i="5"/>
  <c r="O103" i="5"/>
  <c r="L104" i="5"/>
  <c r="L21" i="5"/>
  <c r="AG61" i="5"/>
  <c r="R90" i="5"/>
  <c r="T34" i="5"/>
  <c r="Q75" i="5"/>
  <c r="X33" i="5"/>
  <c r="AG62" i="5"/>
  <c r="N61" i="5"/>
  <c r="AG7" i="5"/>
  <c r="AD48" i="5"/>
  <c r="AA7" i="5"/>
  <c r="AC20" i="5"/>
  <c r="Z21" i="5"/>
  <c r="K33" i="5"/>
  <c r="K37" i="5" s="1"/>
  <c r="K39" i="5" s="1"/>
  <c r="E34" i="5"/>
  <c r="E35" i="5" s="1"/>
  <c r="AF34" i="5"/>
  <c r="Q47" i="5"/>
  <c r="N48" i="5"/>
  <c r="W61" i="5"/>
  <c r="T62" i="5"/>
  <c r="AC75" i="5"/>
  <c r="Z76" i="5"/>
  <c r="K89" i="5"/>
  <c r="E90" i="5"/>
  <c r="AF90" i="5"/>
  <c r="Q103" i="5"/>
  <c r="N104" i="5"/>
  <c r="L61" i="5"/>
  <c r="Z7" i="5"/>
  <c r="AC104" i="5"/>
  <c r="AD75" i="5"/>
  <c r="F61" i="5"/>
  <c r="X104" i="5"/>
  <c r="Z48" i="5"/>
  <c r="E47" i="5"/>
  <c r="E103" i="5"/>
  <c r="F47" i="5"/>
  <c r="F53" i="5" s="1"/>
  <c r="F103" i="5"/>
  <c r="F109" i="5" s="1"/>
  <c r="AA20" i="5"/>
  <c r="Q8" i="5"/>
  <c r="T47" i="5"/>
  <c r="X48" i="5"/>
  <c r="AA103" i="5"/>
  <c r="AF62" i="5"/>
  <c r="AA48" i="5"/>
  <c r="U90" i="5"/>
  <c r="W34" i="5"/>
  <c r="Q76" i="5"/>
  <c r="U20" i="5"/>
  <c r="O61" i="5"/>
  <c r="X90" i="5"/>
  <c r="X91" i="5" s="1"/>
  <c r="Q7" i="5"/>
  <c r="U61" i="5"/>
  <c r="U65" i="5" s="1"/>
  <c r="U67" i="5" s="1"/>
  <c r="AA21" i="5"/>
  <c r="R47" i="5"/>
  <c r="X61" i="5"/>
  <c r="AA76" i="5"/>
  <c r="R103" i="5"/>
  <c r="AF20" i="5"/>
  <c r="Z61" i="5"/>
  <c r="AC76" i="5"/>
  <c r="T103" i="5"/>
  <c r="T8" i="5"/>
  <c r="AD8" i="5"/>
  <c r="F20" i="5"/>
  <c r="AG20" i="5"/>
  <c r="AD21" i="5"/>
  <c r="O33" i="5"/>
  <c r="L34" i="5"/>
  <c r="U47" i="5"/>
  <c r="R48" i="5"/>
  <c r="R49" i="5" s="1"/>
  <c r="AA61" i="5"/>
  <c r="X62" i="5"/>
  <c r="F75" i="5"/>
  <c r="F81" i="5" s="1"/>
  <c r="AG75" i="5"/>
  <c r="AD76" i="5"/>
  <c r="O89" i="5"/>
  <c r="O93" i="5" s="1"/>
  <c r="O95" i="5" s="1"/>
  <c r="L90" i="5"/>
  <c r="U103" i="5"/>
  <c r="R104" i="5"/>
  <c r="AD47" i="5"/>
  <c r="O76" i="5"/>
  <c r="AA104" i="5"/>
  <c r="T20" i="5"/>
  <c r="Z33" i="5"/>
  <c r="Z37" i="5" s="1"/>
  <c r="Z39" i="5" s="1"/>
  <c r="AF103" i="5"/>
  <c r="AF107" i="5" s="1"/>
  <c r="AF109" i="5" s="1"/>
  <c r="N7" i="5"/>
  <c r="AA33" i="5"/>
  <c r="L62" i="5"/>
  <c r="AA89" i="5"/>
  <c r="AD34" i="5"/>
  <c r="AD20" i="5"/>
  <c r="F34" i="5"/>
  <c r="O48" i="5"/>
  <c r="F90" i="5"/>
  <c r="O104" i="5"/>
  <c r="T7" i="5"/>
  <c r="E20" i="5"/>
  <c r="K34" i="5"/>
  <c r="N89" i="5"/>
  <c r="N93" i="5" s="1"/>
  <c r="N95" i="5" s="1"/>
  <c r="Q104" i="5"/>
  <c r="AC8" i="5"/>
  <c r="K20" i="5"/>
  <c r="E21" i="5"/>
  <c r="AF21" i="5"/>
  <c r="Q33" i="5"/>
  <c r="Q37" i="5" s="1"/>
  <c r="Q39" i="5" s="1"/>
  <c r="N34" i="5"/>
  <c r="W47" i="5"/>
  <c r="T48" i="5"/>
  <c r="AC61" i="5"/>
  <c r="Z62" i="5"/>
  <c r="K75" i="5"/>
  <c r="E76" i="5"/>
  <c r="AF76" i="5"/>
  <c r="Q89" i="5"/>
  <c r="Q93" i="5" s="1"/>
  <c r="Q95" i="5" s="1"/>
  <c r="N90" i="5"/>
  <c r="W103" i="5"/>
  <c r="W107" i="5" s="1"/>
  <c r="W109" i="5" s="1"/>
  <c r="T104" i="5"/>
  <c r="X21" i="5"/>
  <c r="AG8" i="5"/>
  <c r="L33" i="5"/>
  <c r="AC21" i="5"/>
  <c r="E75" i="5"/>
  <c r="W7" i="5"/>
  <c r="AA8" i="5"/>
  <c r="L20" i="5"/>
  <c r="F21" i="5"/>
  <c r="AG21" i="5"/>
  <c r="R33" i="5"/>
  <c r="O34" i="5"/>
  <c r="X47" i="5"/>
  <c r="U48" i="5"/>
  <c r="AD61" i="5"/>
  <c r="AD65" i="5" s="1"/>
  <c r="AD67" i="5" s="1"/>
  <c r="AA62" i="5"/>
  <c r="L75" i="5"/>
  <c r="F76" i="5"/>
  <c r="AG76" i="5"/>
  <c r="R89" i="5"/>
  <c r="O90" i="5"/>
  <c r="X103" i="5"/>
  <c r="U104" i="5"/>
  <c r="O20" i="5"/>
  <c r="O75" i="5"/>
  <c r="W33" i="5"/>
  <c r="U34" i="5"/>
  <c r="R75" i="5"/>
  <c r="AD103" i="5"/>
  <c r="Q21" i="5"/>
  <c r="AC48" i="5"/>
  <c r="Z89" i="5"/>
  <c r="Z93" i="5" s="1"/>
  <c r="Z95" i="5" s="1"/>
  <c r="R21" i="5"/>
  <c r="AG47" i="5"/>
  <c r="AG103" i="5"/>
  <c r="K8" i="5"/>
  <c r="F33" i="5"/>
  <c r="F39" i="5" s="1"/>
  <c r="L48" i="5"/>
  <c r="Z8" i="5"/>
  <c r="AG34" i="5"/>
  <c r="AG35" i="5" s="1"/>
  <c r="U62" i="5"/>
  <c r="L89" i="5"/>
  <c r="AG90" i="5"/>
  <c r="AF8" i="5"/>
  <c r="N33" i="5"/>
  <c r="N37" i="5" s="1"/>
  <c r="N39" i="5" s="1"/>
  <c r="Q48" i="5"/>
  <c r="W62" i="5"/>
  <c r="W63" i="5" s="1"/>
  <c r="AF75" i="5"/>
  <c r="K90" i="5"/>
  <c r="W8" i="5"/>
  <c r="N20" i="5"/>
  <c r="K21" i="5"/>
  <c r="T33" i="5"/>
  <c r="T37" i="5" s="1"/>
  <c r="T39" i="5" s="1"/>
  <c r="Q34" i="5"/>
  <c r="Z47" i="5"/>
  <c r="W48" i="5"/>
  <c r="E61" i="5"/>
  <c r="AF61" i="5"/>
  <c r="AC62" i="5"/>
  <c r="N75" i="5"/>
  <c r="K76" i="5"/>
  <c r="T89" i="5"/>
  <c r="T93" i="5" s="1"/>
  <c r="T95" i="5" s="1"/>
  <c r="Q90" i="5"/>
  <c r="Q91" i="5" s="1"/>
  <c r="Z103" i="5"/>
  <c r="W104" i="5"/>
  <c r="R8" i="5"/>
  <c r="L7" i="5"/>
  <c r="O8" i="5"/>
  <c r="F7" i="5"/>
  <c r="L8" i="5"/>
  <c r="F8" i="5"/>
  <c r="X7" i="5"/>
  <c r="U7" i="5"/>
  <c r="E7" i="5"/>
  <c r="E8" i="5"/>
  <c r="U8" i="5"/>
  <c r="X8" i="5"/>
  <c r="R7" i="5"/>
  <c r="O7" i="5"/>
  <c r="K7" i="5"/>
  <c r="AA49" i="5" l="1"/>
  <c r="R65" i="5"/>
  <c r="AF79" i="5"/>
  <c r="AF81" i="5" s="1"/>
  <c r="Z77" i="5"/>
  <c r="X37" i="5"/>
  <c r="U79" i="5"/>
  <c r="U81" i="5" s="1"/>
  <c r="W22" i="5"/>
  <c r="Q22" i="5"/>
  <c r="AA63" i="5"/>
  <c r="N79" i="5"/>
  <c r="N81" i="5" s="1"/>
  <c r="AF35" i="5"/>
  <c r="AD93" i="5"/>
  <c r="AD95" i="5" s="1"/>
  <c r="AC105" i="5"/>
  <c r="R22" i="5"/>
  <c r="O65" i="5"/>
  <c r="O67" i="5" s="1"/>
  <c r="AF93" i="5"/>
  <c r="AF95" i="5" s="1"/>
  <c r="AG93" i="5"/>
  <c r="AG95" i="5" s="1"/>
  <c r="W37" i="5"/>
  <c r="W39" i="5" s="1"/>
  <c r="AF37" i="5"/>
  <c r="AF39" i="5" s="1"/>
  <c r="X63" i="5"/>
  <c r="R79" i="5"/>
  <c r="R81" i="5" s="1"/>
  <c r="O79" i="5"/>
  <c r="O81" i="5" s="1"/>
  <c r="AA93" i="5"/>
  <c r="AA95" i="5" s="1"/>
  <c r="R107" i="5"/>
  <c r="R109" i="5" s="1"/>
  <c r="Q107" i="5"/>
  <c r="Q109" i="5" s="1"/>
  <c r="AG107" i="5"/>
  <c r="AG109" i="5" s="1"/>
  <c r="X107" i="5"/>
  <c r="X109" i="5" s="1"/>
  <c r="R93" i="5"/>
  <c r="R95" i="5" s="1"/>
  <c r="K107" i="5"/>
  <c r="K109" i="5" s="1"/>
  <c r="AA105" i="5"/>
  <c r="AA107" i="5"/>
  <c r="AA109" i="5" s="1"/>
  <c r="Q105" i="5"/>
  <c r="AD107" i="5"/>
  <c r="AD109" i="5" s="1"/>
  <c r="N107" i="5"/>
  <c r="N109" i="5" s="1"/>
  <c r="L107" i="5"/>
  <c r="L109" i="5" s="1"/>
  <c r="U107" i="5"/>
  <c r="U109" i="5" s="1"/>
  <c r="O107" i="5"/>
  <c r="O109" i="5" s="1"/>
  <c r="Z105" i="5"/>
  <c r="Z107" i="5"/>
  <c r="Z109" i="5" s="1"/>
  <c r="T107" i="5"/>
  <c r="T109" i="5" s="1"/>
  <c r="AC107" i="5"/>
  <c r="AC109" i="5" s="1"/>
  <c r="AC79" i="5"/>
  <c r="AC81" i="5" s="1"/>
  <c r="Q79" i="5"/>
  <c r="Q81" i="5" s="1"/>
  <c r="O37" i="5"/>
  <c r="O39" i="5" s="1"/>
  <c r="AD79" i="5"/>
  <c r="AD81" i="5" s="1"/>
  <c r="X93" i="5"/>
  <c r="X95" i="5" s="1"/>
  <c r="T24" i="5"/>
  <c r="T26" i="5" s="1"/>
  <c r="AC93" i="5"/>
  <c r="AC95" i="5" s="1"/>
  <c r="T79" i="5"/>
  <c r="T81" i="5" s="1"/>
  <c r="AG24" i="5"/>
  <c r="AG26" i="5" s="1"/>
  <c r="AG65" i="5"/>
  <c r="AG67" i="5" s="1"/>
  <c r="W93" i="5"/>
  <c r="W95" i="5" s="1"/>
  <c r="L93" i="5"/>
  <c r="L95" i="5" s="1"/>
  <c r="U93" i="5"/>
  <c r="U95" i="5" s="1"/>
  <c r="K93" i="5"/>
  <c r="K95" i="5" s="1"/>
  <c r="W79" i="5"/>
  <c r="W81" i="5" s="1"/>
  <c r="AF65" i="5"/>
  <c r="AF67" i="5" s="1"/>
  <c r="K79" i="5"/>
  <c r="K81" i="5" s="1"/>
  <c r="Z79" i="5"/>
  <c r="Z81" i="5" s="1"/>
  <c r="X79" i="5"/>
  <c r="X81" i="5" s="1"/>
  <c r="AG79" i="5"/>
  <c r="AG81" i="5" s="1"/>
  <c r="AA79" i="5"/>
  <c r="AA81" i="5" s="1"/>
  <c r="L79" i="5"/>
  <c r="L81" i="5" s="1"/>
  <c r="U77" i="5"/>
  <c r="W65" i="5"/>
  <c r="W67" i="5" s="1"/>
  <c r="Z65" i="5"/>
  <c r="Z67" i="5" s="1"/>
  <c r="L65" i="5"/>
  <c r="L67" i="5" s="1"/>
  <c r="AC77" i="5"/>
  <c r="Z24" i="5"/>
  <c r="Z26" i="5" s="1"/>
  <c r="Q67" i="5"/>
  <c r="Z63" i="5"/>
  <c r="AC65" i="5"/>
  <c r="AC67" i="5" s="1"/>
  <c r="T65" i="5"/>
  <c r="T67" i="5" s="1"/>
  <c r="K65" i="5"/>
  <c r="K67" i="5" s="1"/>
  <c r="R67" i="5"/>
  <c r="AC22" i="5"/>
  <c r="AA65" i="5"/>
  <c r="AA67" i="5" s="1"/>
  <c r="X65" i="5"/>
  <c r="X67" i="5" s="1"/>
  <c r="N65" i="5"/>
  <c r="N67" i="5" s="1"/>
  <c r="AD63" i="5"/>
  <c r="AC63" i="5"/>
  <c r="W51" i="5"/>
  <c r="W53" i="5" s="1"/>
  <c r="Z51" i="5"/>
  <c r="Z53" i="5" s="1"/>
  <c r="U51" i="5"/>
  <c r="U53" i="5" s="1"/>
  <c r="X39" i="5"/>
  <c r="AD22" i="5"/>
  <c r="X51" i="5"/>
  <c r="X53" i="5" s="1"/>
  <c r="AG91" i="5"/>
  <c r="AD51" i="5"/>
  <c r="AD53" i="5" s="1"/>
  <c r="Q51" i="5"/>
  <c r="Q53" i="5" s="1"/>
  <c r="AF51" i="5"/>
  <c r="AF53" i="5" s="1"/>
  <c r="AA51" i="5"/>
  <c r="AA53" i="5" s="1"/>
  <c r="K51" i="5"/>
  <c r="K53" i="5" s="1"/>
  <c r="N51" i="5"/>
  <c r="N53" i="5" s="1"/>
  <c r="AF22" i="5"/>
  <c r="T51" i="5"/>
  <c r="T53" i="5" s="1"/>
  <c r="AC51" i="5"/>
  <c r="AC53" i="5" s="1"/>
  <c r="AG51" i="5"/>
  <c r="AG53" i="5" s="1"/>
  <c r="O51" i="5"/>
  <c r="O53" i="5" s="1"/>
  <c r="L51" i="5"/>
  <c r="L53" i="5" s="1"/>
  <c r="K11" i="5"/>
  <c r="K13" i="5" s="1"/>
  <c r="R51" i="5"/>
  <c r="R53" i="5" s="1"/>
  <c r="Z91" i="5"/>
  <c r="F77" i="5"/>
  <c r="AC37" i="5"/>
  <c r="AC39" i="5" s="1"/>
  <c r="AD37" i="5"/>
  <c r="AD39" i="5" s="1"/>
  <c r="R37" i="5"/>
  <c r="R39" i="5" s="1"/>
  <c r="E77" i="5"/>
  <c r="U37" i="5"/>
  <c r="U39" i="5" s="1"/>
  <c r="L37" i="5"/>
  <c r="L39" i="5" s="1"/>
  <c r="AA37" i="5"/>
  <c r="AA39" i="5" s="1"/>
  <c r="AG37" i="5"/>
  <c r="AG39" i="5" s="1"/>
  <c r="Q11" i="5"/>
  <c r="Q13" i="5" s="1"/>
  <c r="X24" i="5"/>
  <c r="X26" i="5" s="1"/>
  <c r="U24" i="5"/>
  <c r="U26" i="5" s="1"/>
  <c r="O11" i="5"/>
  <c r="O13" i="5" s="1"/>
  <c r="O24" i="5"/>
  <c r="O26" i="5" s="1"/>
  <c r="L24" i="5"/>
  <c r="L26" i="5" s="1"/>
  <c r="R24" i="5"/>
  <c r="R26" i="5" s="1"/>
  <c r="R11" i="5"/>
  <c r="R13" i="5" s="1"/>
  <c r="AD24" i="5"/>
  <c r="AD26" i="5" s="1"/>
  <c r="AC24" i="5"/>
  <c r="AC26" i="5" s="1"/>
  <c r="AF24" i="5"/>
  <c r="AF26" i="5" s="1"/>
  <c r="Q24" i="5"/>
  <c r="Q26" i="5" s="1"/>
  <c r="N24" i="5"/>
  <c r="N26" i="5" s="1"/>
  <c r="W24" i="5"/>
  <c r="W26" i="5" s="1"/>
  <c r="U11" i="5"/>
  <c r="U13" i="5" s="1"/>
  <c r="K24" i="5"/>
  <c r="K26" i="5" s="1"/>
  <c r="AA24" i="5"/>
  <c r="AA26" i="5" s="1"/>
  <c r="X35" i="5"/>
  <c r="X77" i="5"/>
  <c r="AC11" i="5"/>
  <c r="AC13" i="5" s="1"/>
  <c r="X22" i="5"/>
  <c r="AD11" i="5"/>
  <c r="AD13" i="5" s="1"/>
  <c r="T11" i="5"/>
  <c r="T13" i="5" s="1"/>
  <c r="X11" i="5"/>
  <c r="X13" i="5" s="1"/>
  <c r="Z11" i="5"/>
  <c r="Z13" i="5" s="1"/>
  <c r="W11" i="5"/>
  <c r="W13" i="5" s="1"/>
  <c r="AA11" i="5"/>
  <c r="AA13" i="5" s="1"/>
  <c r="E49" i="5"/>
  <c r="AG11" i="5"/>
  <c r="AG13" i="5" s="1"/>
  <c r="L11" i="5"/>
  <c r="L13" i="5" s="1"/>
  <c r="AF11" i="5"/>
  <c r="AF13" i="5" s="1"/>
  <c r="R9" i="5"/>
  <c r="N11" i="5"/>
  <c r="N13" i="5" s="1"/>
  <c r="O105" i="5"/>
  <c r="T77" i="5"/>
  <c r="AD77" i="5"/>
  <c r="T35" i="5"/>
  <c r="AG49" i="5"/>
  <c r="F35" i="5"/>
  <c r="AG77" i="5"/>
  <c r="AD35" i="5"/>
  <c r="T22" i="5"/>
  <c r="Z35" i="5"/>
  <c r="AF77" i="5"/>
  <c r="Z49" i="5"/>
  <c r="AC91" i="5"/>
  <c r="E63" i="5"/>
  <c r="AD49" i="5"/>
  <c r="Q77" i="5"/>
  <c r="AA91" i="5"/>
  <c r="U35" i="5"/>
  <c r="Z22" i="5"/>
  <c r="F49" i="5"/>
  <c r="E105" i="5"/>
  <c r="Q35" i="5"/>
  <c r="T63" i="5"/>
  <c r="AF105" i="5"/>
  <c r="AD105" i="5"/>
  <c r="AA77" i="5"/>
  <c r="R63" i="5"/>
  <c r="K105" i="5"/>
  <c r="O63" i="5"/>
  <c r="E22" i="5"/>
  <c r="W77" i="5"/>
  <c r="AF63" i="5"/>
  <c r="F105" i="5"/>
  <c r="AG63" i="5"/>
  <c r="T91" i="5"/>
  <c r="Q49" i="5"/>
  <c r="N91" i="5"/>
  <c r="O35" i="5"/>
  <c r="Q9" i="5"/>
  <c r="AC9" i="5"/>
  <c r="T9" i="5"/>
  <c r="L105" i="5"/>
  <c r="W35" i="5"/>
  <c r="F63" i="5"/>
  <c r="N35" i="5"/>
  <c r="R91" i="5"/>
  <c r="N105" i="5"/>
  <c r="AD9" i="5"/>
  <c r="L91" i="5"/>
  <c r="AF49" i="5"/>
  <c r="O77" i="5"/>
  <c r="N77" i="5"/>
  <c r="O22" i="5"/>
  <c r="L22" i="5"/>
  <c r="T105" i="5"/>
  <c r="K35" i="5"/>
  <c r="AC49" i="5"/>
  <c r="U63" i="5"/>
  <c r="F91" i="5"/>
  <c r="O91" i="5"/>
  <c r="Z9" i="5"/>
  <c r="Q63" i="5"/>
  <c r="K49" i="5"/>
  <c r="K77" i="5"/>
  <c r="W9" i="5"/>
  <c r="K63" i="5"/>
  <c r="L9" i="5"/>
  <c r="E91" i="5"/>
  <c r="AA9" i="5"/>
  <c r="AC35" i="5"/>
  <c r="W91" i="5"/>
  <c r="AF91" i="5"/>
  <c r="X105" i="5"/>
  <c r="L63" i="5"/>
  <c r="X49" i="5"/>
  <c r="AD91" i="5"/>
  <c r="W105" i="5"/>
  <c r="R105" i="5"/>
  <c r="N49" i="5"/>
  <c r="U91" i="5"/>
  <c r="X9" i="5"/>
  <c r="AG22" i="5"/>
  <c r="AG105" i="5"/>
  <c r="L35" i="5"/>
  <c r="AG9" i="5"/>
  <c r="R35" i="5"/>
  <c r="N63" i="5"/>
  <c r="O49" i="5"/>
  <c r="L49" i="5"/>
  <c r="AF9" i="5"/>
  <c r="R77" i="5"/>
  <c r="K9" i="5"/>
  <c r="U49" i="5"/>
  <c r="N22" i="5"/>
  <c r="O9" i="5"/>
  <c r="F22" i="5"/>
  <c r="W49" i="5"/>
  <c r="U105" i="5"/>
  <c r="U22" i="5"/>
  <c r="AA35" i="5"/>
  <c r="T49" i="5"/>
  <c r="L77" i="5"/>
  <c r="K22" i="5"/>
  <c r="N9" i="5"/>
  <c r="AA22" i="5"/>
  <c r="K91" i="5"/>
  <c r="E9" i="5"/>
  <c r="F9" i="5"/>
  <c r="U9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<sst xmlns="http://schemas.openxmlformats.org/spreadsheetml/2006/main" count="1466" uniqueCount="62">
  <si>
    <t>-&gt;</t>
  </si>
  <si>
    <t>E91</t>
  </si>
  <si>
    <t>E92</t>
  </si>
  <si>
    <t>E1</t>
  </si>
  <si>
    <t>I1</t>
  </si>
  <si>
    <t>e</t>
  </si>
  <si>
    <t>E0</t>
  </si>
  <si>
    <t>Terra</t>
  </si>
  <si>
    <t>E2</t>
  </si>
  <si>
    <t>E3</t>
  </si>
  <si>
    <t>E4</t>
  </si>
  <si>
    <t>E5</t>
  </si>
  <si>
    <t>E6</t>
  </si>
  <si>
    <t>E7</t>
  </si>
  <si>
    <t>CORRENTE</t>
  </si>
  <si>
    <t>E1 conectado ao I1 e E0 conectado ao terra</t>
  </si>
  <si>
    <t>E2 conectado ao I1 e E1 conectado ao terra</t>
  </si>
  <si>
    <t>E3 conectado ao I1 e E2 conectado ao terra</t>
  </si>
  <si>
    <t>E4 conectado ao I1 e E3 conectado ao terra</t>
  </si>
  <si>
    <t>E5 conectado ao I1 e E4 conectado ao terra</t>
  </si>
  <si>
    <t>E6 conectado ao I1 e E5 conectado ao terra</t>
  </si>
  <si>
    <t>E7 conectado ao I1 e E6 conectado ao terra</t>
  </si>
  <si>
    <t>E0 conectado ao I1 e E7 conectado ao terra</t>
  </si>
  <si>
    <t>Média</t>
  </si>
  <si>
    <t>Valor simulado</t>
  </si>
  <si>
    <t>STD</t>
  </si>
  <si>
    <t>SNR (dB)</t>
  </si>
  <si>
    <t>E2 E4 E6</t>
  </si>
  <si>
    <t>E3 E5 E7</t>
  </si>
  <si>
    <t>DP</t>
  </si>
  <si>
    <t>Acurácia</t>
  </si>
  <si>
    <t>TERRA</t>
  </si>
  <si>
    <t>INJECAO CORRENTE</t>
  </si>
  <si>
    <t>I +1</t>
  </si>
  <si>
    <t>I +2</t>
  </si>
  <si>
    <t>I - A</t>
  </si>
  <si>
    <t>I - B</t>
  </si>
  <si>
    <t>FREQ 1</t>
  </si>
  <si>
    <t>FREQ 2</t>
  </si>
  <si>
    <t>E1-I e E0 - T</t>
  </si>
  <si>
    <t>E2-I e E1 - T</t>
  </si>
  <si>
    <t>E3-I e E2- T</t>
  </si>
  <si>
    <t>E4-I e E3- T</t>
  </si>
  <si>
    <t>E5-I e E4- T</t>
  </si>
  <si>
    <t>E6-I e E5- T</t>
  </si>
  <si>
    <t>E7-I e E6- T</t>
  </si>
  <si>
    <t>E0-I e E7- T</t>
  </si>
  <si>
    <t>ELETRODOS PARES</t>
  </si>
  <si>
    <t>ELETRODOS IMPARES</t>
  </si>
  <si>
    <t>Eletrodo de medição</t>
  </si>
  <si>
    <t>Eletrodo de injeção</t>
  </si>
  <si>
    <t>FREQ1</t>
  </si>
  <si>
    <t>FREQ2</t>
  </si>
  <si>
    <t>E8</t>
  </si>
  <si>
    <t>Eletrodos de injeção</t>
  </si>
  <si>
    <t>Eletrodos pares</t>
  </si>
  <si>
    <t>Eletrodos ímpares</t>
  </si>
  <si>
    <t>Eletrodos de medição</t>
  </si>
  <si>
    <t>Razao de amplitudes medido (V/I)</t>
  </si>
  <si>
    <t>Razao de amplitudes simulado (V/I)</t>
  </si>
  <si>
    <t>Injeção</t>
  </si>
  <si>
    <t>Medição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</si>
</sst>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E+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applyNumberFormat="1"/>
    <xf numFmtId="11" fontId="0" fillId="0" borderId="0" xfId="0" applyNumberFormat="1"/>
    <xf numFmtId="9" fontId="0" fillId="0" borderId="0" xfId="1" applyFont="1"/>
    <xf numFmtId="164" fontId="0" fillId="3" borderId="0" xfId="0" applyNumberFormat="1" applyFill="1"/>
    <xf numFmtId="9" fontId="0" fillId="0" borderId="0" xfId="0" applyNumberFormat="1"/>
    <xf numFmtId="0" fontId="0" fillId="0" borderId="0" xfId="0" applyAlignment="1"/>
    <xf numFmtId="165" fontId="0" fillId="0" borderId="0" xfId="0" applyNumberFormat="1"/>
    <xf numFmtId="2" fontId="0" fillId="0" borderId="0" xfId="0" applyNumberFormat="1" applyFill="1"/>
    <xf numFmtId="0" fontId="0" fillId="4" borderId="0" xfId="0" applyNumberFormat="1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1" fontId="0" fillId="3" borderId="0" xfId="0" applyNumberFormat="1" applyFill="1"/>
    <xf numFmtId="0" fontId="0" fillId="0" borderId="0" xfId="1" applyNumberFormat="1" applyFont="1"/>
    <xf numFmtId="11" fontId="0" fillId="4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1</xdr:row>
      <xdr:rowOff>76200</xdr:rowOff>
    </xdr:from>
    <xdr:to>
      <xdr:col>14</xdr:col>
      <xdr:colOff>20095</xdr:colOff>
      <xdr:row>34</xdr:row>
      <xdr:rowOff>86604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393073-4A9E-EB0F-9B46-5B9F00C4B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266700"/>
          <a:ext cx="7487695" cy="62969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B1149-9472-4944-AED6-EBD1F29C0001}">
  <dimension ref="A1:AF98"/>
  <sheetViews>
    <sheetView tabSelected="1" workbookViewId="0">
      <selection activeCell="C82" sqref="C82:AF97"/>
    </sheetView>
  </sheetViews>
  <sheetFormatPr defaultRowHeight="15" x14ac:dyDescent="0.25"/>
  <cols>
    <col min="1" max="1" width="9.140625" style="3"/>
  </cols>
  <sheetData>
    <row r="1" spans="1:32" x14ac:dyDescent="0.25">
      <c r="A1" s="3">
        <v>1</v>
      </c>
    </row>
    <row r="2" spans="1:32" x14ac:dyDescent="0.25">
      <c r="A2" s="3">
        <f>A1+1</f>
        <v>2</v>
      </c>
      <c r="B2" t="s">
        <v>0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32" x14ac:dyDescent="0.25">
      <c r="A3" s="3">
        <f>A2+1</f>
        <v>3</v>
      </c>
      <c r="B3" t="s">
        <v>0</v>
      </c>
      <c r="C3" t="s">
        <v>1</v>
      </c>
      <c r="D3">
        <v>1.5044</v>
      </c>
      <c r="E3">
        <v>1.0908</v>
      </c>
      <c r="F3" t="s">
        <v>2</v>
      </c>
      <c r="G3">
        <v>0</v>
      </c>
      <c r="H3">
        <v>0</v>
      </c>
      <c r="I3" t="s">
        <v>6</v>
      </c>
      <c r="J3">
        <v>0.10979999999999999</v>
      </c>
      <c r="K3">
        <v>9.8500000000000004E-2</v>
      </c>
      <c r="L3" t="s">
        <v>3</v>
      </c>
      <c r="M3">
        <v>1.0208999999999999</v>
      </c>
      <c r="N3">
        <v>0.90280000000000005</v>
      </c>
      <c r="O3" t="s">
        <v>8</v>
      </c>
      <c r="P3">
        <v>0.28060000000000002</v>
      </c>
      <c r="Q3">
        <v>0.251</v>
      </c>
      <c r="R3" t="s">
        <v>9</v>
      </c>
      <c r="S3">
        <v>0.79679999999999995</v>
      </c>
      <c r="T3">
        <v>0.70660000000000001</v>
      </c>
      <c r="U3" t="s">
        <v>10</v>
      </c>
      <c r="V3">
        <v>0.28270000000000001</v>
      </c>
      <c r="W3">
        <v>0.25190000000000001</v>
      </c>
      <c r="X3" t="s">
        <v>11</v>
      </c>
      <c r="Y3">
        <v>0.7964</v>
      </c>
      <c r="Z3">
        <v>0.70179999999999998</v>
      </c>
      <c r="AA3" t="s">
        <v>12</v>
      </c>
      <c r="AB3">
        <v>0.27389999999999998</v>
      </c>
      <c r="AC3">
        <v>0.24260000000000001</v>
      </c>
      <c r="AD3" t="s">
        <v>13</v>
      </c>
      <c r="AE3">
        <v>0.79700000000000004</v>
      </c>
      <c r="AF3">
        <v>0.67659999999999998</v>
      </c>
    </row>
    <row r="4" spans="1:32" x14ac:dyDescent="0.25">
      <c r="A4" s="3">
        <f t="shared" ref="A4:A67" si="0">A3+1</f>
        <v>4</v>
      </c>
      <c r="B4" t="s">
        <v>0</v>
      </c>
      <c r="C4" t="s">
        <v>8</v>
      </c>
      <c r="D4" t="s">
        <v>4</v>
      </c>
      <c r="E4" t="s">
        <v>5</v>
      </c>
      <c r="F4" t="s">
        <v>3</v>
      </c>
      <c r="G4" t="s">
        <v>7</v>
      </c>
    </row>
    <row r="5" spans="1:32" x14ac:dyDescent="0.25">
      <c r="A5" s="3">
        <f t="shared" si="0"/>
        <v>5</v>
      </c>
      <c r="B5" t="s">
        <v>0</v>
      </c>
      <c r="C5" t="s">
        <v>1</v>
      </c>
      <c r="D5">
        <v>1.482</v>
      </c>
      <c r="E5">
        <v>1.1034999999999999</v>
      </c>
      <c r="F5" t="s">
        <v>2</v>
      </c>
      <c r="G5">
        <v>0</v>
      </c>
      <c r="H5">
        <v>0</v>
      </c>
      <c r="I5" t="s">
        <v>6</v>
      </c>
      <c r="J5">
        <v>0.89059999999999995</v>
      </c>
      <c r="K5">
        <v>0.80600000000000005</v>
      </c>
      <c r="L5" t="s">
        <v>3</v>
      </c>
      <c r="M5">
        <v>0.1091</v>
      </c>
      <c r="N5">
        <v>0.1008</v>
      </c>
      <c r="O5" t="s">
        <v>8</v>
      </c>
      <c r="P5">
        <v>0.94610000000000005</v>
      </c>
      <c r="Q5">
        <v>0.86529999999999996</v>
      </c>
      <c r="R5" t="s">
        <v>9</v>
      </c>
      <c r="S5">
        <v>0.37359999999999999</v>
      </c>
      <c r="T5">
        <v>0.34429999999999999</v>
      </c>
      <c r="U5" t="s">
        <v>10</v>
      </c>
      <c r="V5">
        <v>0.88700000000000001</v>
      </c>
      <c r="W5">
        <v>0.81320000000000003</v>
      </c>
      <c r="X5" t="s">
        <v>11</v>
      </c>
      <c r="Y5">
        <v>0.3735</v>
      </c>
      <c r="Z5">
        <v>0.34310000000000002</v>
      </c>
      <c r="AA5" t="s">
        <v>12</v>
      </c>
      <c r="AB5">
        <v>0.8831</v>
      </c>
      <c r="AC5">
        <v>0.81040000000000001</v>
      </c>
      <c r="AD5" t="s">
        <v>13</v>
      </c>
      <c r="AE5">
        <v>0.3735</v>
      </c>
      <c r="AF5">
        <v>0.34799999999999998</v>
      </c>
    </row>
    <row r="6" spans="1:32" x14ac:dyDescent="0.25">
      <c r="A6" s="3">
        <f t="shared" si="0"/>
        <v>6</v>
      </c>
      <c r="B6" t="s">
        <v>0</v>
      </c>
      <c r="C6" t="s">
        <v>9</v>
      </c>
      <c r="D6" t="s">
        <v>4</v>
      </c>
      <c r="E6" t="s">
        <v>5</v>
      </c>
      <c r="F6" t="s">
        <v>8</v>
      </c>
      <c r="G6" t="s">
        <v>7</v>
      </c>
    </row>
    <row r="7" spans="1:32" x14ac:dyDescent="0.25">
      <c r="A7" s="3">
        <f t="shared" si="0"/>
        <v>7</v>
      </c>
      <c r="B7" t="s">
        <v>0</v>
      </c>
      <c r="C7" t="s">
        <v>1</v>
      </c>
      <c r="D7">
        <v>1.4674</v>
      </c>
      <c r="E7">
        <v>1.0914999999999999</v>
      </c>
      <c r="F7" t="s">
        <v>2</v>
      </c>
      <c r="G7">
        <v>0</v>
      </c>
      <c r="H7">
        <v>0</v>
      </c>
      <c r="I7" t="s">
        <v>6</v>
      </c>
      <c r="J7">
        <v>0.1908</v>
      </c>
      <c r="K7">
        <v>0.1782</v>
      </c>
      <c r="L7" t="s">
        <v>3</v>
      </c>
      <c r="M7">
        <v>0.70469999999999999</v>
      </c>
      <c r="N7">
        <v>0.64180000000000004</v>
      </c>
      <c r="O7" t="s">
        <v>8</v>
      </c>
      <c r="P7">
        <v>0.1128</v>
      </c>
      <c r="Q7">
        <v>0.10440000000000001</v>
      </c>
      <c r="R7" t="s">
        <v>9</v>
      </c>
      <c r="S7">
        <v>0.83809999999999996</v>
      </c>
      <c r="T7">
        <v>0.76519999999999999</v>
      </c>
      <c r="U7" t="s">
        <v>10</v>
      </c>
      <c r="V7">
        <v>0.19020000000000001</v>
      </c>
      <c r="W7">
        <v>0.1757</v>
      </c>
      <c r="X7" t="s">
        <v>11</v>
      </c>
      <c r="Y7">
        <v>0.7036</v>
      </c>
      <c r="Z7">
        <v>0.63959999999999995</v>
      </c>
      <c r="AA7" t="s">
        <v>12</v>
      </c>
      <c r="AB7">
        <v>0.18920000000000001</v>
      </c>
      <c r="AC7">
        <v>0.17480000000000001</v>
      </c>
      <c r="AD7" t="s">
        <v>13</v>
      </c>
      <c r="AE7">
        <v>0.70440000000000003</v>
      </c>
      <c r="AF7">
        <v>0.63749999999999996</v>
      </c>
    </row>
    <row r="8" spans="1:32" x14ac:dyDescent="0.25">
      <c r="A8" s="3">
        <f t="shared" si="0"/>
        <v>8</v>
      </c>
      <c r="B8" t="s">
        <v>0</v>
      </c>
      <c r="C8" t="s">
        <v>10</v>
      </c>
      <c r="D8" t="s">
        <v>4</v>
      </c>
      <c r="E8" t="s">
        <v>5</v>
      </c>
      <c r="F8" t="s">
        <v>9</v>
      </c>
      <c r="G8" t="s">
        <v>7</v>
      </c>
    </row>
    <row r="9" spans="1:32" x14ac:dyDescent="0.25">
      <c r="A9" s="3">
        <f t="shared" si="0"/>
        <v>9</v>
      </c>
      <c r="B9" t="s">
        <v>0</v>
      </c>
      <c r="C9" t="s">
        <v>1</v>
      </c>
      <c r="D9">
        <v>1.5069999999999999</v>
      </c>
      <c r="E9">
        <v>1.0882000000000001</v>
      </c>
      <c r="F9" t="s">
        <v>2</v>
      </c>
      <c r="G9">
        <v>0</v>
      </c>
      <c r="H9">
        <v>0</v>
      </c>
      <c r="I9" t="s">
        <v>6</v>
      </c>
      <c r="J9">
        <v>0.75560000000000005</v>
      </c>
      <c r="K9">
        <v>0.70140000000000002</v>
      </c>
      <c r="L9" t="s">
        <v>3</v>
      </c>
      <c r="M9">
        <v>0.2419</v>
      </c>
      <c r="N9">
        <v>0.22450000000000001</v>
      </c>
      <c r="O9" t="s">
        <v>8</v>
      </c>
      <c r="P9">
        <v>0.75839999999999996</v>
      </c>
      <c r="Q9">
        <v>0.69930000000000003</v>
      </c>
      <c r="R9" t="s">
        <v>9</v>
      </c>
      <c r="S9">
        <v>0.11020000000000001</v>
      </c>
      <c r="T9">
        <v>0.1028</v>
      </c>
      <c r="U9" t="s">
        <v>10</v>
      </c>
      <c r="V9">
        <v>0.89429999999999998</v>
      </c>
      <c r="W9">
        <v>0.83</v>
      </c>
      <c r="X9" t="s">
        <v>11</v>
      </c>
      <c r="Y9">
        <v>0.24349999999999999</v>
      </c>
      <c r="Z9">
        <v>0.22800000000000001</v>
      </c>
      <c r="AA9" t="s">
        <v>12</v>
      </c>
      <c r="AB9">
        <v>0.75819999999999999</v>
      </c>
      <c r="AC9">
        <v>0.69720000000000004</v>
      </c>
      <c r="AD9" t="s">
        <v>13</v>
      </c>
      <c r="AE9">
        <v>0.24410000000000001</v>
      </c>
      <c r="AF9">
        <v>0.22589999999999999</v>
      </c>
    </row>
    <row r="10" spans="1:32" x14ac:dyDescent="0.25">
      <c r="A10" s="3">
        <f t="shared" si="0"/>
        <v>10</v>
      </c>
      <c r="B10" t="s">
        <v>0</v>
      </c>
      <c r="C10" t="s">
        <v>11</v>
      </c>
      <c r="D10" t="s">
        <v>4</v>
      </c>
      <c r="E10" t="s">
        <v>5</v>
      </c>
      <c r="F10" t="s">
        <v>10</v>
      </c>
      <c r="G10" t="s">
        <v>7</v>
      </c>
    </row>
    <row r="11" spans="1:32" x14ac:dyDescent="0.25">
      <c r="A11" s="3">
        <f t="shared" si="0"/>
        <v>11</v>
      </c>
      <c r="B11" t="s">
        <v>0</v>
      </c>
      <c r="C11" t="s">
        <v>1</v>
      </c>
      <c r="D11">
        <v>1.5107999999999999</v>
      </c>
      <c r="E11">
        <v>1.0770999999999999</v>
      </c>
      <c r="F11" t="s">
        <v>2</v>
      </c>
      <c r="G11">
        <v>0</v>
      </c>
      <c r="H11">
        <v>0</v>
      </c>
      <c r="I11" t="s">
        <v>6</v>
      </c>
      <c r="J11">
        <v>0.24679999999999999</v>
      </c>
      <c r="K11">
        <v>0.22770000000000001</v>
      </c>
      <c r="L11" t="s">
        <v>3</v>
      </c>
      <c r="M11">
        <v>0.76049999999999995</v>
      </c>
      <c r="N11">
        <v>0.68420000000000003</v>
      </c>
      <c r="O11" t="s">
        <v>8</v>
      </c>
      <c r="P11">
        <v>0.2452</v>
      </c>
      <c r="Q11">
        <v>0.22370000000000001</v>
      </c>
      <c r="R11" t="s">
        <v>9</v>
      </c>
      <c r="S11">
        <v>0.76170000000000004</v>
      </c>
      <c r="T11">
        <v>0.68630000000000002</v>
      </c>
      <c r="U11" t="s">
        <v>10</v>
      </c>
      <c r="V11">
        <v>0.10589999999999999</v>
      </c>
      <c r="W11">
        <v>9.6299999999999997E-2</v>
      </c>
      <c r="X11" t="s">
        <v>11</v>
      </c>
      <c r="Y11">
        <v>0.97819999999999996</v>
      </c>
      <c r="Z11">
        <v>0.88449999999999995</v>
      </c>
      <c r="AA11" t="s">
        <v>12</v>
      </c>
      <c r="AB11">
        <v>0.24610000000000001</v>
      </c>
      <c r="AC11">
        <v>0.22439999999999999</v>
      </c>
      <c r="AD11" t="s">
        <v>13</v>
      </c>
      <c r="AE11">
        <v>0.76100000000000001</v>
      </c>
      <c r="AF11">
        <v>0.68189999999999995</v>
      </c>
    </row>
    <row r="12" spans="1:32" x14ac:dyDescent="0.25">
      <c r="A12" s="3">
        <f t="shared" si="0"/>
        <v>12</v>
      </c>
      <c r="B12" t="s">
        <v>0</v>
      </c>
      <c r="C12" t="s">
        <v>12</v>
      </c>
      <c r="D12" t="s">
        <v>4</v>
      </c>
      <c r="E12" t="s">
        <v>5</v>
      </c>
      <c r="F12" t="s">
        <v>11</v>
      </c>
      <c r="G12" t="s">
        <v>7</v>
      </c>
    </row>
    <row r="13" spans="1:32" x14ac:dyDescent="0.25">
      <c r="A13" s="3">
        <f t="shared" si="0"/>
        <v>13</v>
      </c>
      <c r="B13" t="s">
        <v>0</v>
      </c>
      <c r="C13" t="s">
        <v>1</v>
      </c>
      <c r="D13">
        <v>1.5157</v>
      </c>
      <c r="E13">
        <v>1.0797000000000001</v>
      </c>
      <c r="F13" t="s">
        <v>2</v>
      </c>
      <c r="G13">
        <v>0</v>
      </c>
      <c r="H13">
        <v>0</v>
      </c>
      <c r="I13" t="s">
        <v>6</v>
      </c>
      <c r="J13">
        <v>0.86219999999999997</v>
      </c>
      <c r="K13">
        <v>0.7944</v>
      </c>
      <c r="L13" t="s">
        <v>3</v>
      </c>
      <c r="M13">
        <v>0.3508</v>
      </c>
      <c r="N13">
        <v>0.32529999999999998</v>
      </c>
      <c r="O13" t="s">
        <v>8</v>
      </c>
      <c r="P13">
        <v>0.8609</v>
      </c>
      <c r="Q13">
        <v>0.79169999999999996</v>
      </c>
      <c r="R13" t="s">
        <v>9</v>
      </c>
      <c r="S13">
        <v>0.3468</v>
      </c>
      <c r="T13">
        <v>0.3211</v>
      </c>
      <c r="U13" t="s">
        <v>10</v>
      </c>
      <c r="V13">
        <v>0.86229999999999996</v>
      </c>
      <c r="W13">
        <v>0.79530000000000001</v>
      </c>
      <c r="X13" t="s">
        <v>11</v>
      </c>
      <c r="Y13">
        <v>0.1065</v>
      </c>
      <c r="Z13">
        <v>9.8900000000000002E-2</v>
      </c>
      <c r="AA13" t="s">
        <v>12</v>
      </c>
      <c r="AB13">
        <v>0.90920000000000001</v>
      </c>
      <c r="AC13">
        <v>0.83809999999999996</v>
      </c>
      <c r="AD13" t="s">
        <v>13</v>
      </c>
      <c r="AE13">
        <v>0.34749999999999998</v>
      </c>
      <c r="AF13">
        <v>0.32600000000000001</v>
      </c>
    </row>
    <row r="14" spans="1:32" x14ac:dyDescent="0.25">
      <c r="A14" s="3">
        <f t="shared" si="0"/>
        <v>14</v>
      </c>
      <c r="B14" t="s">
        <v>0</v>
      </c>
      <c r="C14" t="s">
        <v>13</v>
      </c>
      <c r="D14" t="s">
        <v>4</v>
      </c>
      <c r="E14" t="s">
        <v>5</v>
      </c>
      <c r="F14" t="s">
        <v>12</v>
      </c>
      <c r="G14" t="s">
        <v>7</v>
      </c>
    </row>
    <row r="15" spans="1:32" x14ac:dyDescent="0.25">
      <c r="A15" s="3">
        <f t="shared" si="0"/>
        <v>15</v>
      </c>
      <c r="B15" t="s">
        <v>0</v>
      </c>
      <c r="C15" t="s">
        <v>1</v>
      </c>
      <c r="D15">
        <v>1.4925999999999999</v>
      </c>
      <c r="E15">
        <v>1.0851</v>
      </c>
      <c r="F15" t="s">
        <v>2</v>
      </c>
      <c r="G15">
        <v>0</v>
      </c>
      <c r="H15">
        <v>0</v>
      </c>
      <c r="I15" t="s">
        <v>6</v>
      </c>
      <c r="J15">
        <v>0.1583</v>
      </c>
      <c r="K15">
        <v>0.15140000000000001</v>
      </c>
      <c r="L15" t="s">
        <v>3</v>
      </c>
      <c r="M15">
        <v>0.67090000000000005</v>
      </c>
      <c r="N15">
        <v>0.59050000000000002</v>
      </c>
      <c r="O15" t="s">
        <v>8</v>
      </c>
      <c r="P15">
        <v>0.1585</v>
      </c>
      <c r="Q15">
        <v>0.14280000000000001</v>
      </c>
      <c r="R15" t="s">
        <v>9</v>
      </c>
      <c r="S15">
        <v>0.67290000000000005</v>
      </c>
      <c r="T15">
        <v>0.59299999999999997</v>
      </c>
      <c r="U15" t="s">
        <v>10</v>
      </c>
      <c r="V15">
        <v>0.16009999999999999</v>
      </c>
      <c r="W15">
        <v>0.1424</v>
      </c>
      <c r="X15" t="s">
        <v>11</v>
      </c>
      <c r="Y15">
        <v>0.67230000000000001</v>
      </c>
      <c r="Z15">
        <v>0.59519999999999995</v>
      </c>
      <c r="AA15" t="s">
        <v>12</v>
      </c>
      <c r="AB15">
        <v>0.1076</v>
      </c>
      <c r="AC15">
        <v>9.6799999999999997E-2</v>
      </c>
      <c r="AD15" t="s">
        <v>13</v>
      </c>
      <c r="AE15">
        <v>0.997</v>
      </c>
      <c r="AF15">
        <v>0.88060000000000005</v>
      </c>
    </row>
    <row r="16" spans="1:32" x14ac:dyDescent="0.25">
      <c r="A16" s="3">
        <f t="shared" si="0"/>
        <v>16</v>
      </c>
      <c r="B16" t="s">
        <v>0</v>
      </c>
      <c r="C16" t="s">
        <v>6</v>
      </c>
      <c r="D16" t="s">
        <v>4</v>
      </c>
      <c r="E16" t="s">
        <v>5</v>
      </c>
      <c r="F16" t="s">
        <v>13</v>
      </c>
      <c r="G16" t="s">
        <v>7</v>
      </c>
    </row>
    <row r="17" spans="1:32" x14ac:dyDescent="0.25">
      <c r="A17" s="3">
        <f t="shared" si="0"/>
        <v>17</v>
      </c>
      <c r="B17" t="s">
        <v>0</v>
      </c>
      <c r="C17" t="s">
        <v>1</v>
      </c>
      <c r="D17">
        <v>1.4984999999999999</v>
      </c>
      <c r="E17">
        <v>1.0746</v>
      </c>
      <c r="F17" t="s">
        <v>2</v>
      </c>
      <c r="G17">
        <v>0</v>
      </c>
      <c r="H17">
        <v>0</v>
      </c>
      <c r="I17" t="s">
        <v>6</v>
      </c>
      <c r="J17">
        <v>1.0620000000000001</v>
      </c>
      <c r="K17">
        <v>0.94</v>
      </c>
      <c r="L17" t="s">
        <v>3</v>
      </c>
      <c r="M17">
        <v>0.45710000000000001</v>
      </c>
      <c r="N17">
        <v>0.40670000000000001</v>
      </c>
      <c r="O17" t="s">
        <v>8</v>
      </c>
      <c r="P17">
        <v>0.95379999999999998</v>
      </c>
      <c r="Q17">
        <v>0.84450000000000003</v>
      </c>
      <c r="R17" t="s">
        <v>9</v>
      </c>
      <c r="S17">
        <v>0.45739999999999997</v>
      </c>
      <c r="T17">
        <v>0.40660000000000002</v>
      </c>
      <c r="U17" t="s">
        <v>10</v>
      </c>
      <c r="V17">
        <v>0.9627</v>
      </c>
      <c r="W17">
        <v>0.85329999999999995</v>
      </c>
      <c r="X17" t="s">
        <v>11</v>
      </c>
      <c r="Y17">
        <v>0.45729999999999998</v>
      </c>
      <c r="Z17">
        <v>0.40570000000000001</v>
      </c>
      <c r="AA17" t="s">
        <v>12</v>
      </c>
      <c r="AB17">
        <v>0.96020000000000005</v>
      </c>
      <c r="AC17">
        <v>0.85119999999999996</v>
      </c>
      <c r="AD17" t="s">
        <v>13</v>
      </c>
      <c r="AE17">
        <v>0.1057</v>
      </c>
      <c r="AF17">
        <v>9.5000000000000001E-2</v>
      </c>
    </row>
    <row r="18" spans="1:32" x14ac:dyDescent="0.25">
      <c r="A18" s="3">
        <f t="shared" si="0"/>
        <v>18</v>
      </c>
    </row>
    <row r="19" spans="1:32" x14ac:dyDescent="0.25">
      <c r="A19" s="3">
        <f t="shared" si="0"/>
        <v>19</v>
      </c>
    </row>
    <row r="20" spans="1:32" x14ac:dyDescent="0.25">
      <c r="A20" s="3">
        <f t="shared" si="0"/>
        <v>20</v>
      </c>
    </row>
    <row r="21" spans="1:32" x14ac:dyDescent="0.25">
      <c r="A21" s="3">
        <f t="shared" si="0"/>
        <v>21</v>
      </c>
      <c r="B21" t="s">
        <v>0</v>
      </c>
    </row>
    <row r="22" spans="1:32" x14ac:dyDescent="0.25">
      <c r="A22" s="3">
        <f t="shared" si="0"/>
        <v>22</v>
      </c>
      <c r="B22" t="s">
        <v>0</v>
      </c>
      <c r="C22" t="s">
        <v>3</v>
      </c>
      <c r="D22" t="s">
        <v>4</v>
      </c>
      <c r="E22" t="s">
        <v>5</v>
      </c>
      <c r="F22" t="s">
        <v>6</v>
      </c>
      <c r="G22" t="s">
        <v>7</v>
      </c>
    </row>
    <row r="23" spans="1:32" x14ac:dyDescent="0.25">
      <c r="A23" s="3">
        <f t="shared" si="0"/>
        <v>23</v>
      </c>
      <c r="B23" t="s">
        <v>0</v>
      </c>
      <c r="C23" t="s">
        <v>1</v>
      </c>
      <c r="D23">
        <v>1.4996</v>
      </c>
      <c r="E23">
        <v>1.0863</v>
      </c>
      <c r="F23" t="s">
        <v>2</v>
      </c>
      <c r="G23">
        <v>0</v>
      </c>
      <c r="H23">
        <v>0</v>
      </c>
      <c r="I23" t="s">
        <v>6</v>
      </c>
      <c r="J23">
        <v>0.10920000000000001</v>
      </c>
      <c r="K23">
        <v>9.8400000000000001E-2</v>
      </c>
      <c r="L23" t="s">
        <v>3</v>
      </c>
      <c r="M23">
        <v>1.0107999999999999</v>
      </c>
      <c r="N23">
        <v>0.88919999999999999</v>
      </c>
      <c r="O23" t="s">
        <v>8</v>
      </c>
      <c r="P23">
        <v>0.2792</v>
      </c>
      <c r="Q23">
        <v>0.25259999999999999</v>
      </c>
      <c r="R23" t="s">
        <v>9</v>
      </c>
      <c r="S23">
        <v>0.79359999999999997</v>
      </c>
      <c r="T23">
        <v>0.70960000000000001</v>
      </c>
      <c r="U23" t="s">
        <v>10</v>
      </c>
      <c r="V23">
        <v>0.27889999999999998</v>
      </c>
      <c r="W23">
        <v>0.25209999999999999</v>
      </c>
      <c r="X23" t="s">
        <v>11</v>
      </c>
      <c r="Y23">
        <v>0.79279999999999995</v>
      </c>
      <c r="Z23">
        <v>0.70109999999999995</v>
      </c>
      <c r="AA23" t="s">
        <v>12</v>
      </c>
      <c r="AB23">
        <v>0.28050000000000003</v>
      </c>
      <c r="AC23">
        <v>0.24579999999999999</v>
      </c>
      <c r="AD23" t="s">
        <v>13</v>
      </c>
      <c r="AE23">
        <v>0.7944</v>
      </c>
      <c r="AF23">
        <v>0.69199999999999995</v>
      </c>
    </row>
    <row r="24" spans="1:32" x14ac:dyDescent="0.25">
      <c r="A24" s="3">
        <f t="shared" si="0"/>
        <v>24</v>
      </c>
      <c r="B24" t="s">
        <v>0</v>
      </c>
      <c r="C24" t="s">
        <v>8</v>
      </c>
      <c r="D24" t="s">
        <v>4</v>
      </c>
      <c r="E24" t="s">
        <v>5</v>
      </c>
      <c r="F24" t="s">
        <v>3</v>
      </c>
      <c r="G24" t="s">
        <v>7</v>
      </c>
    </row>
    <row r="25" spans="1:32" x14ac:dyDescent="0.25">
      <c r="A25" s="3">
        <f t="shared" si="0"/>
        <v>25</v>
      </c>
      <c r="B25" t="s">
        <v>0</v>
      </c>
      <c r="C25" t="s">
        <v>1</v>
      </c>
      <c r="D25">
        <v>1.472</v>
      </c>
      <c r="E25">
        <v>1.1255999999999999</v>
      </c>
      <c r="F25" t="s">
        <v>2</v>
      </c>
      <c r="G25">
        <v>0</v>
      </c>
      <c r="H25">
        <v>0</v>
      </c>
      <c r="I25" t="s">
        <v>6</v>
      </c>
      <c r="J25">
        <v>0.88790000000000002</v>
      </c>
      <c r="K25">
        <v>0.81379999999999997</v>
      </c>
      <c r="L25" t="s">
        <v>3</v>
      </c>
      <c r="M25">
        <v>0.1091</v>
      </c>
      <c r="N25">
        <v>9.98E-2</v>
      </c>
      <c r="O25" t="s">
        <v>8</v>
      </c>
      <c r="P25">
        <v>0.94820000000000004</v>
      </c>
      <c r="Q25">
        <v>0.86880000000000002</v>
      </c>
      <c r="R25" t="s">
        <v>9</v>
      </c>
      <c r="S25">
        <v>0.37409999999999999</v>
      </c>
      <c r="T25">
        <v>0.34520000000000001</v>
      </c>
      <c r="U25" t="s">
        <v>10</v>
      </c>
      <c r="V25">
        <v>0.88849999999999996</v>
      </c>
      <c r="W25">
        <v>0.81559999999999999</v>
      </c>
      <c r="X25" t="s">
        <v>11</v>
      </c>
      <c r="Y25">
        <v>0.37419999999999998</v>
      </c>
      <c r="Z25">
        <v>0.34429999999999999</v>
      </c>
      <c r="AA25" t="s">
        <v>12</v>
      </c>
      <c r="AB25">
        <v>0.88719999999999999</v>
      </c>
      <c r="AC25">
        <v>0.8135</v>
      </c>
      <c r="AD25" t="s">
        <v>13</v>
      </c>
      <c r="AE25">
        <v>0.37459999999999999</v>
      </c>
      <c r="AF25">
        <v>0.34539999999999998</v>
      </c>
    </row>
    <row r="26" spans="1:32" x14ac:dyDescent="0.25">
      <c r="A26" s="3">
        <f t="shared" si="0"/>
        <v>26</v>
      </c>
      <c r="B26" t="s">
        <v>0</v>
      </c>
      <c r="C26" t="s">
        <v>9</v>
      </c>
      <c r="D26" t="s">
        <v>4</v>
      </c>
      <c r="E26" t="s">
        <v>5</v>
      </c>
      <c r="F26" t="s">
        <v>8</v>
      </c>
      <c r="G26" t="s">
        <v>7</v>
      </c>
    </row>
    <row r="27" spans="1:32" x14ac:dyDescent="0.25">
      <c r="A27" s="3">
        <f t="shared" si="0"/>
        <v>27</v>
      </c>
      <c r="B27" t="s">
        <v>0</v>
      </c>
      <c r="C27" t="s">
        <v>1</v>
      </c>
      <c r="D27">
        <v>1.5179</v>
      </c>
      <c r="E27">
        <v>1.0718000000000001</v>
      </c>
      <c r="F27" t="s">
        <v>2</v>
      </c>
      <c r="G27">
        <v>0</v>
      </c>
      <c r="H27">
        <v>0</v>
      </c>
      <c r="I27" t="s">
        <v>6</v>
      </c>
      <c r="J27">
        <v>0.2195</v>
      </c>
      <c r="K27">
        <v>0.20669999999999999</v>
      </c>
      <c r="L27" t="s">
        <v>3</v>
      </c>
      <c r="M27">
        <v>0.70389999999999997</v>
      </c>
      <c r="N27">
        <v>0.64139999999999997</v>
      </c>
      <c r="O27" t="s">
        <v>8</v>
      </c>
      <c r="P27">
        <v>0.1135</v>
      </c>
      <c r="Q27">
        <v>0.1042</v>
      </c>
      <c r="R27" t="s">
        <v>9</v>
      </c>
      <c r="S27">
        <v>0.83779999999999999</v>
      </c>
      <c r="T27">
        <v>0.76390000000000002</v>
      </c>
      <c r="U27" t="s">
        <v>10</v>
      </c>
      <c r="V27">
        <v>0.19</v>
      </c>
      <c r="W27">
        <v>0.17480000000000001</v>
      </c>
      <c r="X27" t="s">
        <v>11</v>
      </c>
      <c r="Y27">
        <v>0.70379999999999998</v>
      </c>
      <c r="Z27">
        <v>0.63700000000000001</v>
      </c>
      <c r="AA27" t="s">
        <v>12</v>
      </c>
      <c r="AB27">
        <v>0.1908</v>
      </c>
      <c r="AC27">
        <v>0.17249999999999999</v>
      </c>
      <c r="AD27" t="s">
        <v>13</v>
      </c>
      <c r="AE27">
        <v>0.69569999999999999</v>
      </c>
      <c r="AF27">
        <v>0.6159</v>
      </c>
    </row>
    <row r="28" spans="1:32" x14ac:dyDescent="0.25">
      <c r="A28" s="3">
        <f t="shared" si="0"/>
        <v>28</v>
      </c>
      <c r="B28" t="s">
        <v>0</v>
      </c>
      <c r="C28" t="s">
        <v>10</v>
      </c>
      <c r="D28" t="s">
        <v>4</v>
      </c>
      <c r="E28" t="s">
        <v>5</v>
      </c>
      <c r="F28" t="s">
        <v>9</v>
      </c>
      <c r="G28" t="s">
        <v>7</v>
      </c>
    </row>
    <row r="29" spans="1:32" x14ac:dyDescent="0.25">
      <c r="A29" s="3">
        <f t="shared" si="0"/>
        <v>29</v>
      </c>
      <c r="B29" t="s">
        <v>0</v>
      </c>
      <c r="C29" t="s">
        <v>1</v>
      </c>
      <c r="D29">
        <v>1.4634</v>
      </c>
      <c r="E29">
        <v>1.0962000000000001</v>
      </c>
      <c r="F29" t="s">
        <v>2</v>
      </c>
      <c r="G29">
        <v>0</v>
      </c>
      <c r="H29">
        <v>0</v>
      </c>
      <c r="I29" t="s">
        <v>6</v>
      </c>
      <c r="J29">
        <v>0.75549999999999995</v>
      </c>
      <c r="K29">
        <v>0.70179999999999998</v>
      </c>
      <c r="L29" t="s">
        <v>3</v>
      </c>
      <c r="M29">
        <v>0.24129999999999999</v>
      </c>
      <c r="N29">
        <v>0.2266</v>
      </c>
      <c r="O29" t="s">
        <v>8</v>
      </c>
      <c r="P29">
        <v>0.75629999999999997</v>
      </c>
      <c r="Q29">
        <v>0.6996</v>
      </c>
      <c r="R29" t="s">
        <v>9</v>
      </c>
      <c r="S29">
        <v>0.10970000000000001</v>
      </c>
      <c r="T29">
        <v>0.1027</v>
      </c>
      <c r="U29" t="s">
        <v>10</v>
      </c>
      <c r="V29">
        <v>0.89970000000000006</v>
      </c>
      <c r="W29">
        <v>0.83430000000000004</v>
      </c>
      <c r="X29" t="s">
        <v>11</v>
      </c>
      <c r="Y29">
        <v>0.24329999999999999</v>
      </c>
      <c r="Z29">
        <v>0.2276</v>
      </c>
      <c r="AA29" t="s">
        <v>12</v>
      </c>
      <c r="AB29">
        <v>0.75629999999999997</v>
      </c>
      <c r="AC29">
        <v>0.70120000000000005</v>
      </c>
      <c r="AD29" t="s">
        <v>13</v>
      </c>
      <c r="AE29">
        <v>0.24340000000000001</v>
      </c>
      <c r="AF29">
        <v>0.23100000000000001</v>
      </c>
    </row>
    <row r="30" spans="1:32" x14ac:dyDescent="0.25">
      <c r="A30" s="3">
        <f t="shared" si="0"/>
        <v>30</v>
      </c>
      <c r="B30" t="s">
        <v>0</v>
      </c>
      <c r="C30" t="s">
        <v>11</v>
      </c>
      <c r="D30" t="s">
        <v>4</v>
      </c>
      <c r="E30" t="s">
        <v>5</v>
      </c>
      <c r="F30" t="s">
        <v>10</v>
      </c>
      <c r="G30" t="s">
        <v>7</v>
      </c>
    </row>
    <row r="31" spans="1:32" x14ac:dyDescent="0.25">
      <c r="A31" s="3">
        <f t="shared" si="0"/>
        <v>31</v>
      </c>
      <c r="B31" t="s">
        <v>0</v>
      </c>
      <c r="C31" t="s">
        <v>1</v>
      </c>
      <c r="D31">
        <v>1.5125999999999999</v>
      </c>
      <c r="E31">
        <v>1.0782</v>
      </c>
      <c r="F31" t="s">
        <v>2</v>
      </c>
      <c r="G31">
        <v>0</v>
      </c>
      <c r="H31">
        <v>0</v>
      </c>
      <c r="I31" t="s">
        <v>6</v>
      </c>
      <c r="J31">
        <v>0.24690000000000001</v>
      </c>
      <c r="K31">
        <v>0.22789999999999999</v>
      </c>
      <c r="L31" t="s">
        <v>3</v>
      </c>
      <c r="M31">
        <v>0.76070000000000004</v>
      </c>
      <c r="N31">
        <v>0.68579999999999997</v>
      </c>
      <c r="O31" t="s">
        <v>8</v>
      </c>
      <c r="P31">
        <v>0.2452</v>
      </c>
      <c r="Q31">
        <v>0.22550000000000001</v>
      </c>
      <c r="R31" t="s">
        <v>9</v>
      </c>
      <c r="S31">
        <v>0.7611</v>
      </c>
      <c r="T31">
        <v>0.68799999999999994</v>
      </c>
      <c r="U31" t="s">
        <v>10</v>
      </c>
      <c r="V31">
        <v>0.1065</v>
      </c>
      <c r="W31">
        <v>9.7199999999999995E-2</v>
      </c>
      <c r="X31" t="s">
        <v>11</v>
      </c>
      <c r="Y31">
        <v>0.98009999999999997</v>
      </c>
      <c r="Z31">
        <v>0.88370000000000004</v>
      </c>
      <c r="AA31" t="s">
        <v>12</v>
      </c>
      <c r="AB31">
        <v>0.24560000000000001</v>
      </c>
      <c r="AC31">
        <v>0.2253</v>
      </c>
      <c r="AD31" t="s">
        <v>13</v>
      </c>
      <c r="AE31">
        <v>0.76060000000000005</v>
      </c>
      <c r="AF31">
        <v>0.68169999999999997</v>
      </c>
    </row>
    <row r="32" spans="1:32" x14ac:dyDescent="0.25">
      <c r="A32" s="3">
        <f t="shared" si="0"/>
        <v>32</v>
      </c>
      <c r="B32" t="s">
        <v>0</v>
      </c>
      <c r="C32" t="s">
        <v>12</v>
      </c>
      <c r="D32" t="s">
        <v>4</v>
      </c>
      <c r="E32" t="s">
        <v>5</v>
      </c>
      <c r="F32" t="s">
        <v>11</v>
      </c>
      <c r="G32" t="s">
        <v>7</v>
      </c>
    </row>
    <row r="33" spans="1:32" x14ac:dyDescent="0.25">
      <c r="A33" s="3">
        <f t="shared" si="0"/>
        <v>33</v>
      </c>
      <c r="B33" t="s">
        <v>0</v>
      </c>
      <c r="C33" t="s">
        <v>1</v>
      </c>
      <c r="D33">
        <v>1.4774</v>
      </c>
      <c r="E33">
        <v>1.1153999999999999</v>
      </c>
      <c r="F33" t="s">
        <v>2</v>
      </c>
      <c r="G33">
        <v>0</v>
      </c>
      <c r="H33">
        <v>0</v>
      </c>
      <c r="I33" t="s">
        <v>6</v>
      </c>
      <c r="J33">
        <v>0.86260000000000003</v>
      </c>
      <c r="K33">
        <v>0.79300000000000004</v>
      </c>
      <c r="L33" t="s">
        <v>3</v>
      </c>
      <c r="M33">
        <v>0.33839999999999998</v>
      </c>
      <c r="N33">
        <v>0.31409999999999999</v>
      </c>
      <c r="O33" t="s">
        <v>8</v>
      </c>
      <c r="P33">
        <v>0.85729999999999995</v>
      </c>
      <c r="Q33">
        <v>0.78920000000000001</v>
      </c>
      <c r="R33" t="s">
        <v>9</v>
      </c>
      <c r="S33">
        <v>0.3478</v>
      </c>
      <c r="T33">
        <v>0.32240000000000002</v>
      </c>
      <c r="U33" t="s">
        <v>10</v>
      </c>
      <c r="V33">
        <v>0.86240000000000006</v>
      </c>
      <c r="W33">
        <v>0.79400000000000004</v>
      </c>
      <c r="X33" t="s">
        <v>11</v>
      </c>
      <c r="Y33">
        <v>0.10639999999999999</v>
      </c>
      <c r="Z33">
        <v>9.8500000000000004E-2</v>
      </c>
      <c r="AA33" t="s">
        <v>12</v>
      </c>
      <c r="AB33">
        <v>0.90849999999999997</v>
      </c>
      <c r="AC33">
        <v>0.83460000000000001</v>
      </c>
      <c r="AD33" t="s">
        <v>13</v>
      </c>
      <c r="AE33">
        <v>0.34649999999999997</v>
      </c>
      <c r="AF33">
        <v>0.31979999999999997</v>
      </c>
    </row>
    <row r="34" spans="1:32" x14ac:dyDescent="0.25">
      <c r="A34" s="3">
        <f t="shared" si="0"/>
        <v>34</v>
      </c>
      <c r="B34" t="s">
        <v>0</v>
      </c>
      <c r="C34" t="s">
        <v>13</v>
      </c>
      <c r="D34" t="s">
        <v>4</v>
      </c>
      <c r="E34" t="s">
        <v>5</v>
      </c>
      <c r="F34" t="s">
        <v>12</v>
      </c>
      <c r="G34" t="s">
        <v>7</v>
      </c>
    </row>
    <row r="35" spans="1:32" x14ac:dyDescent="0.25">
      <c r="A35" s="3">
        <f t="shared" si="0"/>
        <v>35</v>
      </c>
      <c r="B35" t="s">
        <v>0</v>
      </c>
      <c r="C35" t="s">
        <v>1</v>
      </c>
      <c r="D35">
        <v>1.4977</v>
      </c>
      <c r="E35">
        <v>1.0867</v>
      </c>
      <c r="F35" t="s">
        <v>2</v>
      </c>
      <c r="G35">
        <v>0</v>
      </c>
      <c r="H35">
        <v>0</v>
      </c>
      <c r="I35" t="s">
        <v>6</v>
      </c>
      <c r="J35">
        <v>0.1583</v>
      </c>
      <c r="K35">
        <v>0.15110000000000001</v>
      </c>
      <c r="L35" t="s">
        <v>3</v>
      </c>
      <c r="M35">
        <v>0.67269999999999996</v>
      </c>
      <c r="N35">
        <v>0.59640000000000004</v>
      </c>
      <c r="O35" t="s">
        <v>8</v>
      </c>
      <c r="P35">
        <v>0.1588</v>
      </c>
      <c r="Q35">
        <v>0.1429</v>
      </c>
      <c r="R35" t="s">
        <v>9</v>
      </c>
      <c r="S35">
        <v>0.67510000000000003</v>
      </c>
      <c r="T35">
        <v>0.5887</v>
      </c>
      <c r="U35" t="s">
        <v>10</v>
      </c>
      <c r="V35">
        <v>0.16009999999999999</v>
      </c>
      <c r="W35">
        <v>0.14219999999999999</v>
      </c>
      <c r="X35" t="s">
        <v>11</v>
      </c>
      <c r="Y35">
        <v>0.67290000000000005</v>
      </c>
      <c r="Z35">
        <v>0.58919999999999995</v>
      </c>
      <c r="AA35" t="s">
        <v>12</v>
      </c>
      <c r="AB35">
        <v>0.1076</v>
      </c>
      <c r="AC35">
        <v>9.6199999999999994E-2</v>
      </c>
      <c r="AD35" t="s">
        <v>13</v>
      </c>
      <c r="AE35">
        <v>0.99990000000000001</v>
      </c>
      <c r="AF35">
        <v>0.88639999999999997</v>
      </c>
    </row>
    <row r="36" spans="1:32" x14ac:dyDescent="0.25">
      <c r="A36" s="3">
        <f t="shared" si="0"/>
        <v>36</v>
      </c>
      <c r="B36" t="s">
        <v>0</v>
      </c>
      <c r="C36" t="s">
        <v>6</v>
      </c>
      <c r="D36" t="s">
        <v>4</v>
      </c>
      <c r="E36" t="s">
        <v>5</v>
      </c>
      <c r="F36" t="s">
        <v>13</v>
      </c>
      <c r="G36" t="s">
        <v>7</v>
      </c>
    </row>
    <row r="37" spans="1:32" x14ac:dyDescent="0.25">
      <c r="A37" s="3">
        <f t="shared" si="0"/>
        <v>37</v>
      </c>
      <c r="B37" t="s">
        <v>0</v>
      </c>
      <c r="C37" t="s">
        <v>1</v>
      </c>
      <c r="D37">
        <v>1.5215000000000001</v>
      </c>
      <c r="E37">
        <v>1.0703</v>
      </c>
      <c r="F37" t="s">
        <v>2</v>
      </c>
      <c r="G37">
        <v>0</v>
      </c>
      <c r="H37">
        <v>0</v>
      </c>
      <c r="I37" t="s">
        <v>6</v>
      </c>
      <c r="J37">
        <v>1.0626</v>
      </c>
      <c r="K37">
        <v>0.94</v>
      </c>
      <c r="L37" t="s">
        <v>3</v>
      </c>
      <c r="M37">
        <v>0.45639999999999997</v>
      </c>
      <c r="N37">
        <v>0.40570000000000001</v>
      </c>
      <c r="O37" t="s">
        <v>8</v>
      </c>
      <c r="P37">
        <v>0.95569999999999999</v>
      </c>
      <c r="Q37">
        <v>0.8468</v>
      </c>
      <c r="R37" t="s">
        <v>9</v>
      </c>
      <c r="S37">
        <v>0.45810000000000001</v>
      </c>
      <c r="T37">
        <v>0.40620000000000001</v>
      </c>
      <c r="U37" t="s">
        <v>10</v>
      </c>
      <c r="V37">
        <v>0.96409999999999996</v>
      </c>
      <c r="W37">
        <v>0.85540000000000005</v>
      </c>
      <c r="X37" t="s">
        <v>11</v>
      </c>
      <c r="Y37">
        <v>0.45679999999999998</v>
      </c>
      <c r="Z37">
        <v>0.40579999999999999</v>
      </c>
      <c r="AA37" t="s">
        <v>12</v>
      </c>
      <c r="AB37">
        <v>0.95420000000000005</v>
      </c>
      <c r="AC37">
        <v>0.84499999999999997</v>
      </c>
      <c r="AD37" t="s">
        <v>13</v>
      </c>
      <c r="AE37">
        <v>0.1057</v>
      </c>
      <c r="AF37">
        <v>9.5000000000000001E-2</v>
      </c>
    </row>
    <row r="38" spans="1:32" x14ac:dyDescent="0.25">
      <c r="A38" s="3">
        <f t="shared" si="0"/>
        <v>38</v>
      </c>
    </row>
    <row r="39" spans="1:32" x14ac:dyDescent="0.25">
      <c r="A39" s="3">
        <f t="shared" si="0"/>
        <v>39</v>
      </c>
    </row>
    <row r="40" spans="1:32" x14ac:dyDescent="0.25">
      <c r="A40" s="3">
        <f t="shared" si="0"/>
        <v>40</v>
      </c>
      <c r="B40" t="s">
        <v>0</v>
      </c>
    </row>
    <row r="41" spans="1:32" x14ac:dyDescent="0.25">
      <c r="A41" s="3">
        <f t="shared" si="0"/>
        <v>41</v>
      </c>
      <c r="B41" t="s">
        <v>0</v>
      </c>
    </row>
    <row r="42" spans="1:32" x14ac:dyDescent="0.25">
      <c r="A42" s="3">
        <f t="shared" si="0"/>
        <v>42</v>
      </c>
      <c r="B42" t="s">
        <v>0</v>
      </c>
      <c r="C42" t="s">
        <v>3</v>
      </c>
      <c r="D42" t="s">
        <v>4</v>
      </c>
      <c r="E42" t="s">
        <v>5</v>
      </c>
      <c r="F42" t="s">
        <v>6</v>
      </c>
      <c r="G42" t="s">
        <v>7</v>
      </c>
    </row>
    <row r="43" spans="1:32" x14ac:dyDescent="0.25">
      <c r="A43" s="3">
        <f t="shared" si="0"/>
        <v>43</v>
      </c>
      <c r="B43" t="s">
        <v>0</v>
      </c>
      <c r="C43" t="s">
        <v>1</v>
      </c>
      <c r="D43">
        <v>1.5152000000000001</v>
      </c>
      <c r="E43">
        <v>1.0754999999999999</v>
      </c>
      <c r="F43" t="s">
        <v>2</v>
      </c>
      <c r="G43">
        <v>0</v>
      </c>
      <c r="H43">
        <v>0</v>
      </c>
      <c r="I43" t="s">
        <v>6</v>
      </c>
      <c r="J43">
        <v>0.1094</v>
      </c>
      <c r="K43">
        <v>9.8500000000000004E-2</v>
      </c>
      <c r="L43" t="s">
        <v>3</v>
      </c>
      <c r="M43">
        <v>1.0228999999999999</v>
      </c>
      <c r="N43">
        <v>0.90339999999999998</v>
      </c>
      <c r="O43" t="s">
        <v>8</v>
      </c>
      <c r="P43">
        <v>0.28410000000000002</v>
      </c>
      <c r="Q43">
        <v>0.25080000000000002</v>
      </c>
      <c r="R43" t="s">
        <v>9</v>
      </c>
      <c r="S43">
        <v>0.79300000000000004</v>
      </c>
      <c r="T43">
        <v>0.69320000000000004</v>
      </c>
      <c r="U43" t="s">
        <v>10</v>
      </c>
      <c r="V43">
        <v>0.28129999999999999</v>
      </c>
      <c r="W43">
        <v>0.24410000000000001</v>
      </c>
      <c r="X43" t="s">
        <v>11</v>
      </c>
      <c r="Y43">
        <v>0.78879999999999995</v>
      </c>
      <c r="Z43">
        <v>0.68359999999999999</v>
      </c>
      <c r="AA43" t="s">
        <v>12</v>
      </c>
      <c r="AB43">
        <v>0.28010000000000002</v>
      </c>
      <c r="AC43">
        <v>0.2442</v>
      </c>
      <c r="AD43" t="s">
        <v>13</v>
      </c>
      <c r="AE43">
        <v>0.79049999999999998</v>
      </c>
      <c r="AF43">
        <v>0.66639999999999999</v>
      </c>
    </row>
    <row r="44" spans="1:32" x14ac:dyDescent="0.25">
      <c r="A44" s="3">
        <f t="shared" si="0"/>
        <v>44</v>
      </c>
      <c r="B44" t="s">
        <v>0</v>
      </c>
      <c r="C44" t="s">
        <v>8</v>
      </c>
      <c r="D44" t="s">
        <v>4</v>
      </c>
      <c r="E44" t="s">
        <v>5</v>
      </c>
      <c r="F44" t="s">
        <v>3</v>
      </c>
      <c r="G44" t="s">
        <v>7</v>
      </c>
    </row>
    <row r="45" spans="1:32" x14ac:dyDescent="0.25">
      <c r="A45" s="3">
        <f t="shared" si="0"/>
        <v>45</v>
      </c>
      <c r="B45" t="s">
        <v>0</v>
      </c>
      <c r="C45" t="s">
        <v>1</v>
      </c>
      <c r="D45">
        <v>1.5022</v>
      </c>
      <c r="E45">
        <v>1.0827</v>
      </c>
      <c r="F45" t="s">
        <v>2</v>
      </c>
      <c r="G45">
        <v>0</v>
      </c>
      <c r="H45">
        <v>0</v>
      </c>
      <c r="I45" t="s">
        <v>6</v>
      </c>
      <c r="J45">
        <v>0.88859999999999995</v>
      </c>
      <c r="K45">
        <v>0.81359999999999999</v>
      </c>
      <c r="L45" t="s">
        <v>3</v>
      </c>
      <c r="M45">
        <v>0.10970000000000001</v>
      </c>
      <c r="N45">
        <v>0.1009</v>
      </c>
      <c r="O45" t="s">
        <v>8</v>
      </c>
      <c r="P45">
        <v>0.9466</v>
      </c>
      <c r="Q45">
        <v>0.86739999999999995</v>
      </c>
      <c r="R45" t="s">
        <v>9</v>
      </c>
      <c r="S45">
        <v>0.37559999999999999</v>
      </c>
      <c r="T45">
        <v>0.34439999999999998</v>
      </c>
      <c r="U45" t="s">
        <v>10</v>
      </c>
      <c r="V45">
        <v>0.8881</v>
      </c>
      <c r="W45">
        <v>0.81579999999999997</v>
      </c>
      <c r="X45" t="s">
        <v>11</v>
      </c>
      <c r="Y45">
        <v>0.37359999999999999</v>
      </c>
      <c r="Z45">
        <v>0.34370000000000001</v>
      </c>
      <c r="AA45" t="s">
        <v>12</v>
      </c>
      <c r="AB45">
        <v>0.88349999999999995</v>
      </c>
      <c r="AC45">
        <v>0.81120000000000003</v>
      </c>
      <c r="AD45" t="s">
        <v>13</v>
      </c>
      <c r="AE45">
        <v>0.375</v>
      </c>
      <c r="AF45">
        <v>0.34710000000000002</v>
      </c>
    </row>
    <row r="46" spans="1:32" x14ac:dyDescent="0.25">
      <c r="A46" s="3">
        <f t="shared" si="0"/>
        <v>46</v>
      </c>
      <c r="B46" t="s">
        <v>0</v>
      </c>
      <c r="C46" t="s">
        <v>9</v>
      </c>
      <c r="D46" t="s">
        <v>4</v>
      </c>
      <c r="E46" t="s">
        <v>5</v>
      </c>
      <c r="F46" t="s">
        <v>8</v>
      </c>
      <c r="G46" t="s">
        <v>7</v>
      </c>
    </row>
    <row r="47" spans="1:32" x14ac:dyDescent="0.25">
      <c r="A47" s="3">
        <f t="shared" si="0"/>
        <v>47</v>
      </c>
      <c r="B47" t="s">
        <v>0</v>
      </c>
      <c r="C47" t="s">
        <v>1</v>
      </c>
      <c r="D47">
        <v>1.5106999999999999</v>
      </c>
      <c r="E47">
        <v>1.0764</v>
      </c>
      <c r="F47" t="s">
        <v>2</v>
      </c>
      <c r="G47">
        <v>0</v>
      </c>
      <c r="H47">
        <v>0</v>
      </c>
      <c r="I47" t="s">
        <v>6</v>
      </c>
      <c r="J47">
        <v>0.1905</v>
      </c>
      <c r="K47">
        <v>0.17899999999999999</v>
      </c>
      <c r="L47" t="s">
        <v>3</v>
      </c>
      <c r="M47">
        <v>0.70550000000000002</v>
      </c>
      <c r="N47">
        <v>0.64070000000000005</v>
      </c>
      <c r="O47" t="s">
        <v>8</v>
      </c>
      <c r="P47">
        <v>0.1135</v>
      </c>
      <c r="Q47">
        <v>0.1047</v>
      </c>
      <c r="R47" t="s">
        <v>9</v>
      </c>
      <c r="S47">
        <v>0.83520000000000005</v>
      </c>
      <c r="T47">
        <v>0.76459999999999995</v>
      </c>
      <c r="U47" t="s">
        <v>10</v>
      </c>
      <c r="V47">
        <v>0.19</v>
      </c>
      <c r="W47">
        <v>0.1757</v>
      </c>
      <c r="X47" t="s">
        <v>11</v>
      </c>
      <c r="Y47">
        <v>0.70469999999999999</v>
      </c>
      <c r="Z47">
        <v>0.63959999999999995</v>
      </c>
      <c r="AA47" t="s">
        <v>12</v>
      </c>
      <c r="AB47">
        <v>0.1903</v>
      </c>
      <c r="AC47">
        <v>0.1741</v>
      </c>
      <c r="AD47" t="s">
        <v>13</v>
      </c>
      <c r="AE47">
        <v>0.70409999999999995</v>
      </c>
      <c r="AF47">
        <v>0.63519999999999999</v>
      </c>
    </row>
    <row r="48" spans="1:32" x14ac:dyDescent="0.25">
      <c r="A48" s="3">
        <f t="shared" si="0"/>
        <v>48</v>
      </c>
      <c r="B48" t="s">
        <v>0</v>
      </c>
      <c r="C48" t="s">
        <v>10</v>
      </c>
      <c r="D48" t="s">
        <v>4</v>
      </c>
      <c r="E48" t="s">
        <v>5</v>
      </c>
      <c r="F48" t="s">
        <v>9</v>
      </c>
      <c r="G48" t="s">
        <v>7</v>
      </c>
    </row>
    <row r="49" spans="1:32" x14ac:dyDescent="0.25">
      <c r="A49" s="3">
        <f t="shared" si="0"/>
        <v>49</v>
      </c>
      <c r="B49" t="s">
        <v>0</v>
      </c>
      <c r="C49" t="s">
        <v>1</v>
      </c>
      <c r="D49">
        <v>1.4673</v>
      </c>
      <c r="E49">
        <v>1.0921000000000001</v>
      </c>
      <c r="F49" t="s">
        <v>2</v>
      </c>
      <c r="G49">
        <v>0</v>
      </c>
      <c r="H49">
        <v>0</v>
      </c>
      <c r="I49" t="s">
        <v>6</v>
      </c>
      <c r="J49">
        <v>0.75660000000000005</v>
      </c>
      <c r="K49">
        <v>0.69779999999999998</v>
      </c>
      <c r="L49" t="s">
        <v>3</v>
      </c>
      <c r="M49">
        <v>0.24460000000000001</v>
      </c>
      <c r="N49">
        <v>0.22370000000000001</v>
      </c>
      <c r="O49" t="s">
        <v>8</v>
      </c>
      <c r="P49">
        <v>0.75639999999999996</v>
      </c>
      <c r="Q49">
        <v>0.69979999999999998</v>
      </c>
      <c r="R49" t="s">
        <v>9</v>
      </c>
      <c r="S49">
        <v>0.1089</v>
      </c>
      <c r="T49">
        <v>0.1026</v>
      </c>
      <c r="U49" t="s">
        <v>10</v>
      </c>
      <c r="V49">
        <v>0.89739999999999998</v>
      </c>
      <c r="W49">
        <v>0.83</v>
      </c>
      <c r="X49" t="s">
        <v>11</v>
      </c>
      <c r="Y49">
        <v>0.24299999999999999</v>
      </c>
      <c r="Z49">
        <v>0.2276</v>
      </c>
      <c r="AA49" t="s">
        <v>12</v>
      </c>
      <c r="AB49">
        <v>0.75670000000000004</v>
      </c>
      <c r="AC49">
        <v>0.69750000000000001</v>
      </c>
      <c r="AD49" t="s">
        <v>13</v>
      </c>
      <c r="AE49">
        <v>0.24490000000000001</v>
      </c>
      <c r="AF49">
        <v>0.23150000000000001</v>
      </c>
    </row>
    <row r="50" spans="1:32" x14ac:dyDescent="0.25">
      <c r="A50" s="3">
        <f t="shared" si="0"/>
        <v>50</v>
      </c>
      <c r="B50" t="s">
        <v>0</v>
      </c>
      <c r="C50" t="s">
        <v>11</v>
      </c>
      <c r="D50" t="s">
        <v>4</v>
      </c>
      <c r="E50" t="s">
        <v>5</v>
      </c>
      <c r="F50" t="s">
        <v>10</v>
      </c>
      <c r="G50" t="s">
        <v>7</v>
      </c>
    </row>
    <row r="51" spans="1:32" x14ac:dyDescent="0.25">
      <c r="A51" s="3">
        <f t="shared" si="0"/>
        <v>51</v>
      </c>
      <c r="B51" t="s">
        <v>0</v>
      </c>
      <c r="C51" t="s">
        <v>1</v>
      </c>
      <c r="D51">
        <v>1.4737</v>
      </c>
      <c r="E51">
        <v>1.0944</v>
      </c>
      <c r="F51" t="s">
        <v>2</v>
      </c>
      <c r="G51">
        <v>0</v>
      </c>
      <c r="H51">
        <v>0</v>
      </c>
      <c r="I51" t="s">
        <v>6</v>
      </c>
      <c r="J51">
        <v>0.24709999999999999</v>
      </c>
      <c r="K51">
        <v>0.22700000000000001</v>
      </c>
      <c r="L51" t="s">
        <v>3</v>
      </c>
      <c r="M51">
        <v>0.76080000000000003</v>
      </c>
      <c r="N51">
        <v>0.68520000000000003</v>
      </c>
      <c r="O51" t="s">
        <v>8</v>
      </c>
      <c r="P51">
        <v>0.24579999999999999</v>
      </c>
      <c r="Q51">
        <v>0.22420000000000001</v>
      </c>
      <c r="R51" t="s">
        <v>9</v>
      </c>
      <c r="S51">
        <v>0.76080000000000003</v>
      </c>
      <c r="T51">
        <v>0.68679999999999997</v>
      </c>
      <c r="U51" t="s">
        <v>10</v>
      </c>
      <c r="V51">
        <v>0.1065</v>
      </c>
      <c r="W51">
        <v>9.7299999999999998E-2</v>
      </c>
      <c r="X51" t="s">
        <v>11</v>
      </c>
      <c r="Y51">
        <v>0.98170000000000002</v>
      </c>
      <c r="Z51">
        <v>0.88849999999999996</v>
      </c>
      <c r="AA51" t="s">
        <v>12</v>
      </c>
      <c r="AB51">
        <v>0.24590000000000001</v>
      </c>
      <c r="AC51">
        <v>0.22370000000000001</v>
      </c>
      <c r="AD51" t="s">
        <v>13</v>
      </c>
      <c r="AE51">
        <v>0.75960000000000005</v>
      </c>
      <c r="AF51">
        <v>0.68220000000000003</v>
      </c>
    </row>
    <row r="52" spans="1:32" x14ac:dyDescent="0.25">
      <c r="A52" s="3">
        <f t="shared" si="0"/>
        <v>52</v>
      </c>
      <c r="B52" t="s">
        <v>0</v>
      </c>
      <c r="C52" t="s">
        <v>12</v>
      </c>
      <c r="D52" t="s">
        <v>4</v>
      </c>
      <c r="E52" t="s">
        <v>5</v>
      </c>
      <c r="F52" t="s">
        <v>11</v>
      </c>
      <c r="G52" t="s">
        <v>7</v>
      </c>
    </row>
    <row r="53" spans="1:32" x14ac:dyDescent="0.25">
      <c r="A53" s="3">
        <f t="shared" si="0"/>
        <v>53</v>
      </c>
      <c r="B53" t="s">
        <v>0</v>
      </c>
      <c r="C53" t="s">
        <v>1</v>
      </c>
      <c r="D53">
        <v>1.4663999999999999</v>
      </c>
      <c r="E53">
        <v>1.1194999999999999</v>
      </c>
      <c r="F53" t="s">
        <v>2</v>
      </c>
      <c r="G53">
        <v>0</v>
      </c>
      <c r="H53">
        <v>0</v>
      </c>
      <c r="I53" t="s">
        <v>6</v>
      </c>
      <c r="J53">
        <v>0.86339999999999995</v>
      </c>
      <c r="K53">
        <v>0.79410000000000003</v>
      </c>
      <c r="L53" t="s">
        <v>3</v>
      </c>
      <c r="M53">
        <v>0.34599999999999997</v>
      </c>
      <c r="N53">
        <v>0.3221</v>
      </c>
      <c r="O53" t="s">
        <v>8</v>
      </c>
      <c r="P53">
        <v>0.86099999999999999</v>
      </c>
      <c r="Q53">
        <v>0.79259999999999997</v>
      </c>
      <c r="R53" t="s">
        <v>9</v>
      </c>
      <c r="S53">
        <v>0.35070000000000001</v>
      </c>
      <c r="T53">
        <v>0.32250000000000001</v>
      </c>
      <c r="U53" t="s">
        <v>10</v>
      </c>
      <c r="V53">
        <v>0.86219999999999997</v>
      </c>
      <c r="W53">
        <v>0.79410000000000003</v>
      </c>
      <c r="X53" t="s">
        <v>11</v>
      </c>
      <c r="Y53">
        <v>0.10589999999999999</v>
      </c>
      <c r="Z53">
        <v>9.5500000000000002E-2</v>
      </c>
      <c r="AA53" t="s">
        <v>12</v>
      </c>
      <c r="AB53">
        <v>0.90790000000000004</v>
      </c>
      <c r="AC53">
        <v>0.83440000000000003</v>
      </c>
      <c r="AD53" t="s">
        <v>13</v>
      </c>
      <c r="AE53">
        <v>0.34660000000000002</v>
      </c>
      <c r="AF53">
        <v>0.31019999999999998</v>
      </c>
    </row>
    <row r="54" spans="1:32" x14ac:dyDescent="0.25">
      <c r="A54" s="3">
        <f t="shared" si="0"/>
        <v>54</v>
      </c>
      <c r="B54" t="s">
        <v>0</v>
      </c>
      <c r="C54" t="s">
        <v>13</v>
      </c>
      <c r="D54" t="s">
        <v>4</v>
      </c>
      <c r="E54" t="s">
        <v>5</v>
      </c>
      <c r="F54" t="s">
        <v>12</v>
      </c>
      <c r="G54" t="s">
        <v>7</v>
      </c>
    </row>
    <row r="55" spans="1:32" x14ac:dyDescent="0.25">
      <c r="A55" s="3">
        <f t="shared" si="0"/>
        <v>55</v>
      </c>
      <c r="B55" t="s">
        <v>0</v>
      </c>
      <c r="C55" t="s">
        <v>1</v>
      </c>
      <c r="D55">
        <v>1.4553</v>
      </c>
      <c r="E55">
        <v>1.1158999999999999</v>
      </c>
      <c r="F55" t="s">
        <v>2</v>
      </c>
      <c r="G55">
        <v>0</v>
      </c>
      <c r="H55">
        <v>0</v>
      </c>
      <c r="I55" t="s">
        <v>6</v>
      </c>
      <c r="J55">
        <v>0.16139999999999999</v>
      </c>
      <c r="K55">
        <v>0.14849999999999999</v>
      </c>
      <c r="L55" t="s">
        <v>3</v>
      </c>
      <c r="M55">
        <v>0.67410000000000003</v>
      </c>
      <c r="N55">
        <v>0.5978</v>
      </c>
      <c r="O55" t="s">
        <v>8</v>
      </c>
      <c r="P55">
        <v>0.15939999999999999</v>
      </c>
      <c r="Q55">
        <v>0.14399999999999999</v>
      </c>
      <c r="R55" t="s">
        <v>9</v>
      </c>
      <c r="S55">
        <v>0.67579999999999996</v>
      </c>
      <c r="T55">
        <v>0.60060000000000002</v>
      </c>
      <c r="U55" t="s">
        <v>10</v>
      </c>
      <c r="V55">
        <v>0.15909999999999999</v>
      </c>
      <c r="W55">
        <v>0.14330000000000001</v>
      </c>
      <c r="X55" t="s">
        <v>11</v>
      </c>
      <c r="Y55">
        <v>0.6724</v>
      </c>
      <c r="Z55">
        <v>0.59750000000000003</v>
      </c>
      <c r="AA55" t="s">
        <v>12</v>
      </c>
      <c r="AB55">
        <v>0.10829999999999999</v>
      </c>
      <c r="AC55">
        <v>9.74E-2</v>
      </c>
      <c r="AD55" t="s">
        <v>13</v>
      </c>
      <c r="AE55">
        <v>0.99760000000000004</v>
      </c>
      <c r="AF55">
        <v>0.88880000000000003</v>
      </c>
    </row>
    <row r="56" spans="1:32" x14ac:dyDescent="0.25">
      <c r="A56" s="3">
        <f t="shared" si="0"/>
        <v>56</v>
      </c>
      <c r="B56" t="s">
        <v>0</v>
      </c>
      <c r="C56" t="s">
        <v>6</v>
      </c>
      <c r="D56" t="s">
        <v>4</v>
      </c>
      <c r="E56" t="s">
        <v>5</v>
      </c>
      <c r="F56" t="s">
        <v>13</v>
      </c>
      <c r="G56" t="s">
        <v>7</v>
      </c>
    </row>
    <row r="57" spans="1:32" x14ac:dyDescent="0.25">
      <c r="A57" s="3">
        <f t="shared" si="0"/>
        <v>57</v>
      </c>
      <c r="B57" t="s">
        <v>0</v>
      </c>
      <c r="C57" t="s">
        <v>1</v>
      </c>
      <c r="D57">
        <v>1.5238</v>
      </c>
      <c r="E57">
        <v>1.0648</v>
      </c>
      <c r="F57" t="s">
        <v>2</v>
      </c>
      <c r="G57">
        <v>0</v>
      </c>
      <c r="H57">
        <v>0</v>
      </c>
      <c r="I57" t="s">
        <v>6</v>
      </c>
      <c r="J57">
        <v>1.0668</v>
      </c>
      <c r="K57">
        <v>0.94269999999999998</v>
      </c>
      <c r="L57" t="s">
        <v>3</v>
      </c>
      <c r="M57">
        <v>0.45669999999999999</v>
      </c>
      <c r="N57">
        <v>0.40639999999999998</v>
      </c>
      <c r="O57" t="s">
        <v>8</v>
      </c>
      <c r="P57">
        <v>0.95860000000000001</v>
      </c>
      <c r="Q57">
        <v>0.84950000000000003</v>
      </c>
      <c r="R57" t="s">
        <v>9</v>
      </c>
      <c r="S57">
        <v>0.45729999999999998</v>
      </c>
      <c r="T57">
        <v>0.40720000000000001</v>
      </c>
      <c r="U57" t="s">
        <v>10</v>
      </c>
      <c r="V57">
        <v>0.95679999999999998</v>
      </c>
      <c r="W57">
        <v>0.84699999999999998</v>
      </c>
      <c r="X57" t="s">
        <v>11</v>
      </c>
      <c r="Y57">
        <v>0.46529999999999999</v>
      </c>
      <c r="Z57">
        <v>0.41449999999999998</v>
      </c>
      <c r="AA57" t="s">
        <v>12</v>
      </c>
      <c r="AB57">
        <v>0.95640000000000003</v>
      </c>
      <c r="AC57">
        <v>0.84889999999999999</v>
      </c>
      <c r="AD57" t="s">
        <v>13</v>
      </c>
      <c r="AE57">
        <v>0.1042</v>
      </c>
      <c r="AF57">
        <v>9.5100000000000004E-2</v>
      </c>
    </row>
    <row r="58" spans="1:32" x14ac:dyDescent="0.25">
      <c r="A58" s="3">
        <f t="shared" si="0"/>
        <v>58</v>
      </c>
    </row>
    <row r="59" spans="1:32" x14ac:dyDescent="0.25">
      <c r="A59" s="3">
        <f t="shared" si="0"/>
        <v>59</v>
      </c>
    </row>
    <row r="60" spans="1:32" x14ac:dyDescent="0.25">
      <c r="A60" s="3">
        <f t="shared" si="0"/>
        <v>60</v>
      </c>
      <c r="B60" t="s">
        <v>0</v>
      </c>
    </row>
    <row r="61" spans="1:32" x14ac:dyDescent="0.25">
      <c r="A61" s="3">
        <f t="shared" si="0"/>
        <v>61</v>
      </c>
      <c r="B61" t="s">
        <v>0</v>
      </c>
    </row>
    <row r="62" spans="1:32" x14ac:dyDescent="0.25">
      <c r="A62" s="3">
        <f t="shared" si="0"/>
        <v>62</v>
      </c>
      <c r="B62" t="s">
        <v>0</v>
      </c>
      <c r="C62" t="s">
        <v>3</v>
      </c>
      <c r="D62" t="s">
        <v>4</v>
      </c>
      <c r="E62" t="s">
        <v>5</v>
      </c>
      <c r="F62" t="s">
        <v>6</v>
      </c>
      <c r="G62" t="s">
        <v>7</v>
      </c>
    </row>
    <row r="63" spans="1:32" x14ac:dyDescent="0.25">
      <c r="A63" s="3">
        <f t="shared" si="0"/>
        <v>63</v>
      </c>
      <c r="B63" t="s">
        <v>0</v>
      </c>
      <c r="C63" t="s">
        <v>1</v>
      </c>
      <c r="D63">
        <v>1.4655</v>
      </c>
      <c r="E63">
        <v>1.0940000000000001</v>
      </c>
      <c r="F63" t="s">
        <v>2</v>
      </c>
      <c r="G63">
        <v>0</v>
      </c>
      <c r="H63">
        <v>0</v>
      </c>
      <c r="I63" t="s">
        <v>6</v>
      </c>
      <c r="J63">
        <v>0.1103</v>
      </c>
      <c r="K63">
        <v>9.8699999999999996E-2</v>
      </c>
      <c r="L63" t="s">
        <v>3</v>
      </c>
      <c r="M63">
        <v>1.0214000000000001</v>
      </c>
      <c r="N63">
        <v>0.90710000000000002</v>
      </c>
      <c r="O63" t="s">
        <v>8</v>
      </c>
      <c r="P63">
        <v>0.28139999999999998</v>
      </c>
      <c r="Q63">
        <v>0.25090000000000001</v>
      </c>
      <c r="R63" t="s">
        <v>9</v>
      </c>
      <c r="S63">
        <v>0.79679999999999995</v>
      </c>
      <c r="T63">
        <v>0.70689999999999997</v>
      </c>
      <c r="U63" t="s">
        <v>10</v>
      </c>
      <c r="V63">
        <v>0.28160000000000002</v>
      </c>
      <c r="W63">
        <v>0.25240000000000001</v>
      </c>
      <c r="X63" t="s">
        <v>11</v>
      </c>
      <c r="Y63">
        <v>0.79620000000000002</v>
      </c>
      <c r="Z63">
        <v>0.70399999999999996</v>
      </c>
      <c r="AA63" t="s">
        <v>12</v>
      </c>
      <c r="AB63">
        <v>0.28050000000000003</v>
      </c>
      <c r="AC63">
        <v>0.251</v>
      </c>
      <c r="AD63" t="s">
        <v>13</v>
      </c>
      <c r="AE63">
        <v>0.79630000000000001</v>
      </c>
      <c r="AF63">
        <v>0.70369999999999999</v>
      </c>
    </row>
    <row r="64" spans="1:32" x14ac:dyDescent="0.25">
      <c r="A64" s="3">
        <f t="shared" si="0"/>
        <v>64</v>
      </c>
      <c r="B64" t="s">
        <v>0</v>
      </c>
      <c r="C64" t="s">
        <v>8</v>
      </c>
      <c r="D64" t="s">
        <v>4</v>
      </c>
      <c r="E64" t="s">
        <v>5</v>
      </c>
      <c r="F64" t="s">
        <v>3</v>
      </c>
      <c r="G64" t="s">
        <v>7</v>
      </c>
    </row>
    <row r="65" spans="1:32" x14ac:dyDescent="0.25">
      <c r="A65" s="3">
        <f t="shared" si="0"/>
        <v>65</v>
      </c>
      <c r="B65" t="s">
        <v>0</v>
      </c>
      <c r="C65" t="s">
        <v>1</v>
      </c>
      <c r="D65">
        <v>1.4661999999999999</v>
      </c>
      <c r="E65">
        <v>1.1117999999999999</v>
      </c>
      <c r="F65" t="s">
        <v>2</v>
      </c>
      <c r="G65">
        <v>0</v>
      </c>
      <c r="H65">
        <v>0</v>
      </c>
      <c r="I65" t="s">
        <v>6</v>
      </c>
      <c r="J65">
        <v>0.88880000000000003</v>
      </c>
      <c r="K65">
        <v>0.81440000000000001</v>
      </c>
      <c r="L65" t="s">
        <v>3</v>
      </c>
      <c r="M65">
        <v>0.10929999999999999</v>
      </c>
      <c r="N65">
        <v>0.10059999999999999</v>
      </c>
      <c r="O65" t="s">
        <v>8</v>
      </c>
      <c r="P65">
        <v>0.9466</v>
      </c>
      <c r="Q65">
        <v>0.8659</v>
      </c>
      <c r="R65" t="s">
        <v>9</v>
      </c>
      <c r="S65">
        <v>0.37409999999999999</v>
      </c>
      <c r="T65">
        <v>0.34599999999999997</v>
      </c>
      <c r="U65" t="s">
        <v>10</v>
      </c>
      <c r="V65">
        <v>0.88660000000000005</v>
      </c>
      <c r="W65">
        <v>0.81220000000000003</v>
      </c>
      <c r="X65" t="s">
        <v>11</v>
      </c>
      <c r="Y65">
        <v>0.37359999999999999</v>
      </c>
      <c r="Z65">
        <v>0.34439999999999998</v>
      </c>
      <c r="AA65" t="s">
        <v>12</v>
      </c>
      <c r="AB65">
        <v>0.8851</v>
      </c>
      <c r="AC65">
        <v>0.81289999999999996</v>
      </c>
      <c r="AD65" t="s">
        <v>13</v>
      </c>
      <c r="AE65">
        <v>0.37440000000000001</v>
      </c>
      <c r="AF65">
        <v>0.35249999999999998</v>
      </c>
    </row>
    <row r="66" spans="1:32" x14ac:dyDescent="0.25">
      <c r="A66" s="3">
        <f t="shared" si="0"/>
        <v>66</v>
      </c>
      <c r="B66" t="s">
        <v>0</v>
      </c>
      <c r="C66" t="s">
        <v>9</v>
      </c>
      <c r="D66" t="s">
        <v>4</v>
      </c>
      <c r="E66" t="s">
        <v>5</v>
      </c>
      <c r="F66" t="s">
        <v>8</v>
      </c>
      <c r="G66" t="s">
        <v>7</v>
      </c>
    </row>
    <row r="67" spans="1:32" x14ac:dyDescent="0.25">
      <c r="A67" s="3">
        <f t="shared" si="0"/>
        <v>67</v>
      </c>
      <c r="B67" t="s">
        <v>0</v>
      </c>
      <c r="C67" t="s">
        <v>1</v>
      </c>
      <c r="D67">
        <v>1.4722</v>
      </c>
      <c r="E67">
        <v>1.1096999999999999</v>
      </c>
      <c r="F67" t="s">
        <v>2</v>
      </c>
      <c r="G67">
        <v>0</v>
      </c>
      <c r="H67">
        <v>0</v>
      </c>
      <c r="I67" t="s">
        <v>6</v>
      </c>
      <c r="J67">
        <v>0.18990000000000001</v>
      </c>
      <c r="K67">
        <v>0.1729</v>
      </c>
      <c r="L67" t="s">
        <v>3</v>
      </c>
      <c r="M67">
        <v>0.70640000000000003</v>
      </c>
      <c r="N67">
        <v>0.63519999999999999</v>
      </c>
      <c r="O67" t="s">
        <v>8</v>
      </c>
      <c r="P67">
        <v>0.11169999999999999</v>
      </c>
      <c r="Q67">
        <v>0.1032</v>
      </c>
      <c r="R67" t="s">
        <v>9</v>
      </c>
      <c r="S67">
        <v>0.83709999999999996</v>
      </c>
      <c r="T67">
        <v>0.76119999999999999</v>
      </c>
      <c r="U67" t="s">
        <v>10</v>
      </c>
      <c r="V67">
        <v>0.1905</v>
      </c>
      <c r="W67">
        <v>0.1757</v>
      </c>
      <c r="X67" t="s">
        <v>11</v>
      </c>
      <c r="Y67">
        <v>0.70379999999999998</v>
      </c>
      <c r="Z67">
        <v>0.63880000000000003</v>
      </c>
      <c r="AA67" t="s">
        <v>12</v>
      </c>
      <c r="AB67">
        <v>0.19</v>
      </c>
      <c r="AC67">
        <v>0.17519999999999999</v>
      </c>
      <c r="AD67" t="s">
        <v>13</v>
      </c>
      <c r="AE67">
        <v>0.70420000000000005</v>
      </c>
      <c r="AF67">
        <v>0.63460000000000005</v>
      </c>
    </row>
    <row r="68" spans="1:32" x14ac:dyDescent="0.25">
      <c r="A68" s="3">
        <f t="shared" ref="A68:A97" si="1">A67+1</f>
        <v>68</v>
      </c>
      <c r="B68" t="s">
        <v>0</v>
      </c>
      <c r="C68" t="s">
        <v>10</v>
      </c>
      <c r="D68" t="s">
        <v>4</v>
      </c>
      <c r="E68" t="s">
        <v>5</v>
      </c>
      <c r="F68" t="s">
        <v>9</v>
      </c>
      <c r="G68" t="s">
        <v>7</v>
      </c>
    </row>
    <row r="69" spans="1:32" x14ac:dyDescent="0.25">
      <c r="A69" s="3">
        <f t="shared" si="1"/>
        <v>69</v>
      </c>
      <c r="B69" t="s">
        <v>0</v>
      </c>
      <c r="C69" t="s">
        <v>1</v>
      </c>
      <c r="D69">
        <v>1.5119</v>
      </c>
      <c r="E69">
        <v>1.077</v>
      </c>
      <c r="F69" t="s">
        <v>2</v>
      </c>
      <c r="G69">
        <v>0</v>
      </c>
      <c r="H69">
        <v>0</v>
      </c>
      <c r="I69" t="s">
        <v>6</v>
      </c>
      <c r="J69">
        <v>0.75849999999999995</v>
      </c>
      <c r="K69">
        <v>0.70289999999999997</v>
      </c>
      <c r="L69" t="s">
        <v>3</v>
      </c>
      <c r="M69">
        <v>0.24299999999999999</v>
      </c>
      <c r="N69">
        <v>0.22720000000000001</v>
      </c>
      <c r="O69" t="s">
        <v>8</v>
      </c>
      <c r="P69">
        <v>0.75690000000000002</v>
      </c>
      <c r="Q69">
        <v>0.70130000000000003</v>
      </c>
      <c r="R69" t="s">
        <v>9</v>
      </c>
      <c r="S69">
        <v>0.1101</v>
      </c>
      <c r="T69">
        <v>0.1033</v>
      </c>
      <c r="U69" t="s">
        <v>10</v>
      </c>
      <c r="V69">
        <v>0.89390000000000003</v>
      </c>
      <c r="W69">
        <v>0.82940000000000003</v>
      </c>
      <c r="X69" t="s">
        <v>11</v>
      </c>
      <c r="Y69">
        <v>0.24360000000000001</v>
      </c>
      <c r="Z69">
        <v>0.22720000000000001</v>
      </c>
      <c r="AA69" t="s">
        <v>12</v>
      </c>
      <c r="AB69">
        <v>0.75670000000000004</v>
      </c>
      <c r="AC69">
        <v>0.70069999999999999</v>
      </c>
      <c r="AD69" t="s">
        <v>13</v>
      </c>
      <c r="AE69">
        <v>0.24279999999999999</v>
      </c>
      <c r="AF69">
        <v>0.23200000000000001</v>
      </c>
    </row>
    <row r="70" spans="1:32" x14ac:dyDescent="0.25">
      <c r="A70" s="3">
        <f t="shared" si="1"/>
        <v>70</v>
      </c>
      <c r="B70" t="s">
        <v>0</v>
      </c>
      <c r="C70" t="s">
        <v>11</v>
      </c>
      <c r="D70" t="s">
        <v>4</v>
      </c>
      <c r="E70" t="s">
        <v>5</v>
      </c>
      <c r="F70" t="s">
        <v>10</v>
      </c>
      <c r="G70" t="s">
        <v>7</v>
      </c>
    </row>
    <row r="71" spans="1:32" x14ac:dyDescent="0.25">
      <c r="A71" s="3">
        <f t="shared" si="1"/>
        <v>71</v>
      </c>
      <c r="B71" t="s">
        <v>0</v>
      </c>
      <c r="C71" t="s">
        <v>1</v>
      </c>
      <c r="D71">
        <v>1.4883999999999999</v>
      </c>
      <c r="E71">
        <v>1.0806</v>
      </c>
      <c r="F71" t="s">
        <v>2</v>
      </c>
      <c r="G71">
        <v>0</v>
      </c>
      <c r="H71">
        <v>0</v>
      </c>
      <c r="I71" t="s">
        <v>6</v>
      </c>
      <c r="J71">
        <v>0.24610000000000001</v>
      </c>
      <c r="K71">
        <v>0.2271</v>
      </c>
      <c r="L71" t="s">
        <v>3</v>
      </c>
      <c r="M71">
        <v>0.75900000000000001</v>
      </c>
      <c r="N71">
        <v>0.68259999999999998</v>
      </c>
      <c r="O71" t="s">
        <v>8</v>
      </c>
      <c r="P71">
        <v>0.2437</v>
      </c>
      <c r="Q71">
        <v>0.2213</v>
      </c>
      <c r="R71" t="s">
        <v>9</v>
      </c>
      <c r="S71">
        <v>0.75890000000000002</v>
      </c>
      <c r="T71">
        <v>0.67079999999999995</v>
      </c>
      <c r="U71" t="s">
        <v>10</v>
      </c>
      <c r="V71">
        <v>0.1067</v>
      </c>
      <c r="W71">
        <v>9.2700000000000005E-2</v>
      </c>
      <c r="X71" t="s">
        <v>11</v>
      </c>
      <c r="Y71">
        <v>0.96950000000000003</v>
      </c>
      <c r="Z71">
        <v>0.8609</v>
      </c>
      <c r="AA71" t="s">
        <v>12</v>
      </c>
      <c r="AB71">
        <v>0.24440000000000001</v>
      </c>
      <c r="AC71">
        <v>0.2167</v>
      </c>
      <c r="AD71" t="s">
        <v>13</v>
      </c>
      <c r="AE71">
        <v>0.74929999999999997</v>
      </c>
      <c r="AF71">
        <v>0.65510000000000002</v>
      </c>
    </row>
    <row r="72" spans="1:32" x14ac:dyDescent="0.25">
      <c r="A72" s="3">
        <f t="shared" si="1"/>
        <v>72</v>
      </c>
      <c r="B72" t="s">
        <v>0</v>
      </c>
      <c r="C72" t="s">
        <v>12</v>
      </c>
      <c r="D72" t="s">
        <v>4</v>
      </c>
      <c r="E72" t="s">
        <v>5</v>
      </c>
      <c r="F72" t="s">
        <v>11</v>
      </c>
      <c r="G72" t="s">
        <v>7</v>
      </c>
    </row>
    <row r="73" spans="1:32" x14ac:dyDescent="0.25">
      <c r="A73" s="3">
        <f t="shared" si="1"/>
        <v>73</v>
      </c>
      <c r="B73" t="s">
        <v>0</v>
      </c>
      <c r="C73" t="s">
        <v>1</v>
      </c>
      <c r="D73">
        <v>1.4997</v>
      </c>
      <c r="E73">
        <v>1.1026</v>
      </c>
      <c r="F73" t="s">
        <v>2</v>
      </c>
      <c r="G73">
        <v>0</v>
      </c>
      <c r="H73">
        <v>0</v>
      </c>
      <c r="I73" t="s">
        <v>6</v>
      </c>
      <c r="J73">
        <v>0.85680000000000001</v>
      </c>
      <c r="K73">
        <v>0.78839999999999999</v>
      </c>
      <c r="L73" t="s">
        <v>3</v>
      </c>
      <c r="M73">
        <v>0.34710000000000002</v>
      </c>
      <c r="N73">
        <v>0.32190000000000002</v>
      </c>
      <c r="O73" t="s">
        <v>8</v>
      </c>
      <c r="P73">
        <v>0.85980000000000001</v>
      </c>
      <c r="Q73">
        <v>0.79239999999999999</v>
      </c>
      <c r="R73" t="s">
        <v>9</v>
      </c>
      <c r="S73">
        <v>0.34710000000000002</v>
      </c>
      <c r="T73">
        <v>0.3226</v>
      </c>
      <c r="U73" t="s">
        <v>10</v>
      </c>
      <c r="V73">
        <v>0.86250000000000004</v>
      </c>
      <c r="W73">
        <v>0.79510000000000003</v>
      </c>
      <c r="X73" t="s">
        <v>11</v>
      </c>
      <c r="Y73">
        <v>0.1065</v>
      </c>
      <c r="Z73">
        <v>9.8699999999999996E-2</v>
      </c>
      <c r="AA73" t="s">
        <v>12</v>
      </c>
      <c r="AB73">
        <v>0.90920000000000001</v>
      </c>
      <c r="AC73">
        <v>0.83660000000000001</v>
      </c>
      <c r="AD73" t="s">
        <v>13</v>
      </c>
      <c r="AE73">
        <v>0.35</v>
      </c>
      <c r="AF73">
        <v>0.3266</v>
      </c>
    </row>
    <row r="74" spans="1:32" x14ac:dyDescent="0.25">
      <c r="A74" s="3">
        <f t="shared" si="1"/>
        <v>74</v>
      </c>
      <c r="B74" t="s">
        <v>0</v>
      </c>
      <c r="C74" t="s">
        <v>13</v>
      </c>
      <c r="D74" t="s">
        <v>4</v>
      </c>
      <c r="E74" t="s">
        <v>5</v>
      </c>
      <c r="F74" t="s">
        <v>12</v>
      </c>
      <c r="G74" t="s">
        <v>7</v>
      </c>
    </row>
    <row r="75" spans="1:32" x14ac:dyDescent="0.25">
      <c r="A75" s="3">
        <f t="shared" si="1"/>
        <v>75</v>
      </c>
      <c r="B75" t="s">
        <v>0</v>
      </c>
      <c r="C75" t="s">
        <v>1</v>
      </c>
      <c r="D75">
        <v>1.4705999999999999</v>
      </c>
      <c r="E75">
        <v>1.1201000000000001</v>
      </c>
      <c r="F75" t="s">
        <v>2</v>
      </c>
      <c r="G75">
        <v>0</v>
      </c>
      <c r="H75">
        <v>0</v>
      </c>
      <c r="I75" t="s">
        <v>6</v>
      </c>
      <c r="J75">
        <v>0.16020000000000001</v>
      </c>
      <c r="K75">
        <v>0.1479</v>
      </c>
      <c r="L75" t="s">
        <v>3</v>
      </c>
      <c r="M75">
        <v>0.67390000000000005</v>
      </c>
      <c r="N75">
        <v>0.59819999999999995</v>
      </c>
      <c r="O75" t="s">
        <v>8</v>
      </c>
      <c r="P75">
        <v>0.15939999999999999</v>
      </c>
      <c r="Q75">
        <v>0.14449999999999999</v>
      </c>
      <c r="R75" t="s">
        <v>9</v>
      </c>
      <c r="S75">
        <v>0.67430000000000001</v>
      </c>
      <c r="T75">
        <v>0.59909999999999997</v>
      </c>
      <c r="U75" t="s">
        <v>10</v>
      </c>
      <c r="V75">
        <v>0.16009999999999999</v>
      </c>
      <c r="W75">
        <v>0.14449999999999999</v>
      </c>
      <c r="X75" t="s">
        <v>11</v>
      </c>
      <c r="Y75">
        <v>0.6734</v>
      </c>
      <c r="Z75">
        <v>0.59730000000000005</v>
      </c>
      <c r="AA75" t="s">
        <v>12</v>
      </c>
      <c r="AB75">
        <v>0.107</v>
      </c>
      <c r="AC75">
        <v>9.69E-2</v>
      </c>
      <c r="AD75" t="s">
        <v>13</v>
      </c>
      <c r="AE75">
        <v>0.99960000000000004</v>
      </c>
      <c r="AF75">
        <v>0.88519999999999999</v>
      </c>
    </row>
    <row r="76" spans="1:32" x14ac:dyDescent="0.25">
      <c r="A76" s="3">
        <f t="shared" si="1"/>
        <v>76</v>
      </c>
      <c r="B76" t="s">
        <v>0</v>
      </c>
      <c r="C76" t="s">
        <v>6</v>
      </c>
      <c r="D76" t="s">
        <v>4</v>
      </c>
      <c r="E76" t="s">
        <v>5</v>
      </c>
      <c r="F76" t="s">
        <v>13</v>
      </c>
      <c r="G76" t="s">
        <v>7</v>
      </c>
    </row>
    <row r="77" spans="1:32" x14ac:dyDescent="0.25">
      <c r="A77" s="3">
        <f t="shared" si="1"/>
        <v>77</v>
      </c>
      <c r="B77" t="s">
        <v>0</v>
      </c>
      <c r="C77" t="s">
        <v>1</v>
      </c>
      <c r="D77">
        <v>1.5234000000000001</v>
      </c>
      <c r="E77">
        <v>1.0625</v>
      </c>
      <c r="F77" t="s">
        <v>2</v>
      </c>
      <c r="G77">
        <v>0</v>
      </c>
      <c r="H77">
        <v>0</v>
      </c>
      <c r="I77" t="s">
        <v>6</v>
      </c>
      <c r="J77">
        <v>1.0633999999999999</v>
      </c>
      <c r="K77">
        <v>0.93979999999999997</v>
      </c>
      <c r="L77" t="s">
        <v>3</v>
      </c>
      <c r="M77">
        <v>0.45689999999999997</v>
      </c>
      <c r="N77">
        <v>0.40720000000000001</v>
      </c>
      <c r="O77" t="s">
        <v>8</v>
      </c>
      <c r="P77">
        <v>0.96089999999999998</v>
      </c>
      <c r="Q77">
        <v>0.85450000000000004</v>
      </c>
      <c r="R77" t="s">
        <v>9</v>
      </c>
      <c r="S77">
        <v>0.45650000000000002</v>
      </c>
      <c r="T77">
        <v>0.40739999999999998</v>
      </c>
      <c r="U77" t="s">
        <v>10</v>
      </c>
      <c r="V77">
        <v>0.96240000000000003</v>
      </c>
      <c r="W77">
        <v>0.85470000000000002</v>
      </c>
      <c r="X77" t="s">
        <v>11</v>
      </c>
      <c r="Y77">
        <v>0.45579999999999998</v>
      </c>
      <c r="Z77">
        <v>0.40539999999999998</v>
      </c>
      <c r="AA77" t="s">
        <v>12</v>
      </c>
      <c r="AB77">
        <v>0.96130000000000004</v>
      </c>
      <c r="AC77">
        <v>0.85270000000000001</v>
      </c>
      <c r="AD77" t="s">
        <v>13</v>
      </c>
      <c r="AE77">
        <v>0.10780000000000001</v>
      </c>
      <c r="AF77">
        <v>9.9699999999999997E-2</v>
      </c>
    </row>
    <row r="78" spans="1:32" x14ac:dyDescent="0.25">
      <c r="A78" s="3">
        <f t="shared" si="1"/>
        <v>78</v>
      </c>
      <c r="B78" t="s">
        <v>0</v>
      </c>
    </row>
    <row r="79" spans="1:32" x14ac:dyDescent="0.25">
      <c r="A79" s="3">
        <f t="shared" si="1"/>
        <v>79</v>
      </c>
    </row>
    <row r="80" spans="1:32" x14ac:dyDescent="0.25">
      <c r="A80" s="3">
        <f t="shared" si="1"/>
        <v>80</v>
      </c>
      <c r="B80" t="s">
        <v>0</v>
      </c>
    </row>
    <row r="81" spans="1:32" x14ac:dyDescent="0.25">
      <c r="A81" s="3">
        <f t="shared" si="1"/>
        <v>81</v>
      </c>
      <c r="B81" t="s">
        <v>0</v>
      </c>
    </row>
    <row r="82" spans="1:32" x14ac:dyDescent="0.25">
      <c r="A82" s="3">
        <f t="shared" si="1"/>
        <v>82</v>
      </c>
      <c r="B82" t="s">
        <v>0</v>
      </c>
      <c r="C82" t="s">
        <v>3</v>
      </c>
      <c r="D82" t="s">
        <v>4</v>
      </c>
      <c r="E82" t="s">
        <v>5</v>
      </c>
      <c r="F82" t="s">
        <v>6</v>
      </c>
      <c r="G82" t="s">
        <v>7</v>
      </c>
    </row>
    <row r="83" spans="1:32" x14ac:dyDescent="0.25">
      <c r="A83" s="3">
        <f t="shared" si="1"/>
        <v>83</v>
      </c>
      <c r="B83" t="s">
        <v>0</v>
      </c>
      <c r="C83" t="s">
        <v>1</v>
      </c>
      <c r="D83">
        <v>1.4850000000000001</v>
      </c>
      <c r="E83">
        <v>1.0909</v>
      </c>
      <c r="F83" t="s">
        <v>2</v>
      </c>
      <c r="G83">
        <v>0</v>
      </c>
      <c r="H83">
        <v>0</v>
      </c>
      <c r="I83" t="s">
        <v>6</v>
      </c>
      <c r="J83">
        <v>0.1095</v>
      </c>
      <c r="K83">
        <v>9.7299999999999998E-2</v>
      </c>
      <c r="L83" t="s">
        <v>3</v>
      </c>
      <c r="M83">
        <v>1.0222</v>
      </c>
      <c r="N83">
        <v>0.90559999999999996</v>
      </c>
      <c r="O83" t="s">
        <v>8</v>
      </c>
      <c r="P83">
        <v>0.28149999999999997</v>
      </c>
      <c r="Q83">
        <v>0.24740000000000001</v>
      </c>
      <c r="R83" t="s">
        <v>9</v>
      </c>
      <c r="S83">
        <v>0.7964</v>
      </c>
      <c r="T83">
        <v>0.70640000000000003</v>
      </c>
      <c r="U83" t="s">
        <v>10</v>
      </c>
      <c r="V83">
        <v>0.28179999999999999</v>
      </c>
      <c r="W83">
        <v>0.25119999999999998</v>
      </c>
      <c r="X83" t="s">
        <v>11</v>
      </c>
      <c r="Y83">
        <v>0.7954</v>
      </c>
      <c r="Z83">
        <v>0.70320000000000005</v>
      </c>
      <c r="AA83" t="s">
        <v>12</v>
      </c>
      <c r="AB83">
        <v>0.28100000000000003</v>
      </c>
      <c r="AC83">
        <v>0.25080000000000002</v>
      </c>
      <c r="AD83" t="s">
        <v>13</v>
      </c>
      <c r="AE83">
        <v>0.79349999999999998</v>
      </c>
      <c r="AF83">
        <v>0.7016</v>
      </c>
    </row>
    <row r="84" spans="1:32" x14ac:dyDescent="0.25">
      <c r="A84" s="3">
        <f t="shared" si="1"/>
        <v>84</v>
      </c>
      <c r="B84" t="s">
        <v>0</v>
      </c>
      <c r="C84" t="s">
        <v>8</v>
      </c>
      <c r="D84" t="s">
        <v>4</v>
      </c>
      <c r="E84" t="s">
        <v>5</v>
      </c>
      <c r="F84" t="s">
        <v>3</v>
      </c>
      <c r="G84" t="s">
        <v>7</v>
      </c>
    </row>
    <row r="85" spans="1:32" x14ac:dyDescent="0.25">
      <c r="A85" s="3">
        <f t="shared" si="1"/>
        <v>85</v>
      </c>
      <c r="B85" t="s">
        <v>0</v>
      </c>
      <c r="C85" t="s">
        <v>1</v>
      </c>
      <c r="D85">
        <v>1.5025999999999999</v>
      </c>
      <c r="E85">
        <v>1.0919000000000001</v>
      </c>
      <c r="F85" t="s">
        <v>2</v>
      </c>
      <c r="G85">
        <v>0</v>
      </c>
      <c r="H85">
        <v>0</v>
      </c>
      <c r="I85" t="s">
        <v>6</v>
      </c>
      <c r="J85">
        <v>0.88800000000000001</v>
      </c>
      <c r="K85">
        <v>0.81210000000000004</v>
      </c>
      <c r="L85" t="s">
        <v>3</v>
      </c>
      <c r="M85">
        <v>0.10929999999999999</v>
      </c>
      <c r="N85">
        <v>0.10100000000000001</v>
      </c>
      <c r="O85" t="s">
        <v>8</v>
      </c>
      <c r="P85">
        <v>0.95209999999999995</v>
      </c>
      <c r="Q85">
        <v>0.87329999999999997</v>
      </c>
      <c r="R85" t="s">
        <v>9</v>
      </c>
      <c r="S85">
        <v>0.37469999999999998</v>
      </c>
      <c r="T85">
        <v>0.34589999999999999</v>
      </c>
      <c r="U85" t="s">
        <v>10</v>
      </c>
      <c r="V85">
        <v>0.89</v>
      </c>
      <c r="W85">
        <v>0.81659999999999999</v>
      </c>
      <c r="X85" t="s">
        <v>11</v>
      </c>
      <c r="Y85">
        <v>0.37330000000000002</v>
      </c>
      <c r="Z85">
        <v>0.34370000000000001</v>
      </c>
      <c r="AA85" t="s">
        <v>12</v>
      </c>
      <c r="AB85">
        <v>0.88360000000000005</v>
      </c>
      <c r="AC85">
        <v>0.81</v>
      </c>
      <c r="AD85" t="s">
        <v>13</v>
      </c>
      <c r="AE85">
        <v>0.37309999999999999</v>
      </c>
      <c r="AF85">
        <v>0.34739999999999999</v>
      </c>
    </row>
    <row r="86" spans="1:32" x14ac:dyDescent="0.25">
      <c r="A86" s="3">
        <f t="shared" si="1"/>
        <v>86</v>
      </c>
      <c r="B86" t="s">
        <v>0</v>
      </c>
      <c r="C86" t="s">
        <v>9</v>
      </c>
      <c r="D86" t="s">
        <v>4</v>
      </c>
      <c r="E86" t="s">
        <v>5</v>
      </c>
      <c r="F86" t="s">
        <v>8</v>
      </c>
      <c r="G86" t="s">
        <v>7</v>
      </c>
    </row>
    <row r="87" spans="1:32" x14ac:dyDescent="0.25">
      <c r="A87" s="3">
        <f t="shared" si="1"/>
        <v>87</v>
      </c>
      <c r="B87" t="s">
        <v>0</v>
      </c>
      <c r="C87" t="s">
        <v>1</v>
      </c>
      <c r="D87">
        <v>1.5085</v>
      </c>
      <c r="E87">
        <v>1.0730999999999999</v>
      </c>
      <c r="F87" t="s">
        <v>2</v>
      </c>
      <c r="G87">
        <v>0</v>
      </c>
      <c r="H87">
        <v>0</v>
      </c>
      <c r="I87" t="s">
        <v>6</v>
      </c>
      <c r="J87">
        <v>0.19059999999999999</v>
      </c>
      <c r="K87">
        <v>0.1787</v>
      </c>
      <c r="L87" t="s">
        <v>3</v>
      </c>
      <c r="M87">
        <v>0.70340000000000003</v>
      </c>
      <c r="N87">
        <v>0.64129999999999998</v>
      </c>
      <c r="O87" t="s">
        <v>8</v>
      </c>
      <c r="P87">
        <v>0.1134</v>
      </c>
      <c r="Q87">
        <v>0.1046</v>
      </c>
      <c r="R87" t="s">
        <v>9</v>
      </c>
      <c r="S87">
        <v>0.83750000000000002</v>
      </c>
      <c r="T87">
        <v>0.76480000000000004</v>
      </c>
      <c r="U87" t="s">
        <v>10</v>
      </c>
      <c r="V87">
        <v>0.19070000000000001</v>
      </c>
      <c r="W87">
        <v>0.17630000000000001</v>
      </c>
      <c r="X87" t="s">
        <v>11</v>
      </c>
      <c r="Y87">
        <v>0.7046</v>
      </c>
      <c r="Z87">
        <v>0.64070000000000005</v>
      </c>
      <c r="AA87" t="s">
        <v>12</v>
      </c>
      <c r="AB87">
        <v>0.18970000000000001</v>
      </c>
      <c r="AC87">
        <v>0.17510000000000001</v>
      </c>
      <c r="AD87" t="s">
        <v>13</v>
      </c>
      <c r="AE87">
        <v>0.70569999999999999</v>
      </c>
      <c r="AF87">
        <v>0.6371</v>
      </c>
    </row>
    <row r="88" spans="1:32" x14ac:dyDescent="0.25">
      <c r="A88" s="3">
        <f t="shared" si="1"/>
        <v>88</v>
      </c>
      <c r="B88" t="s">
        <v>0</v>
      </c>
      <c r="C88" t="s">
        <v>10</v>
      </c>
      <c r="D88" t="s">
        <v>4</v>
      </c>
      <c r="E88" t="s">
        <v>5</v>
      </c>
      <c r="F88" t="s">
        <v>9</v>
      </c>
      <c r="G88" t="s">
        <v>7</v>
      </c>
    </row>
    <row r="89" spans="1:32" x14ac:dyDescent="0.25">
      <c r="A89" s="3">
        <f t="shared" si="1"/>
        <v>89</v>
      </c>
      <c r="B89" t="s">
        <v>0</v>
      </c>
      <c r="C89" t="s">
        <v>1</v>
      </c>
      <c r="D89">
        <v>1.5132000000000001</v>
      </c>
      <c r="E89">
        <v>1.0736000000000001</v>
      </c>
      <c r="F89" t="s">
        <v>2</v>
      </c>
      <c r="G89">
        <v>0</v>
      </c>
      <c r="H89">
        <v>0</v>
      </c>
      <c r="I89" t="s">
        <v>6</v>
      </c>
      <c r="J89">
        <v>0.7591</v>
      </c>
      <c r="K89">
        <v>0.70340000000000003</v>
      </c>
      <c r="L89" t="s">
        <v>3</v>
      </c>
      <c r="M89">
        <v>0.2437</v>
      </c>
      <c r="N89">
        <v>0.22750000000000001</v>
      </c>
      <c r="O89" t="s">
        <v>8</v>
      </c>
      <c r="P89">
        <v>0.75649999999999995</v>
      </c>
      <c r="Q89">
        <v>0.70130000000000003</v>
      </c>
      <c r="R89" t="s">
        <v>9</v>
      </c>
      <c r="S89">
        <v>0.11</v>
      </c>
      <c r="T89">
        <v>0.1033</v>
      </c>
      <c r="U89" t="s">
        <v>10</v>
      </c>
      <c r="V89">
        <v>0.89790000000000003</v>
      </c>
      <c r="W89">
        <v>0.83460000000000001</v>
      </c>
      <c r="X89" t="s">
        <v>11</v>
      </c>
      <c r="Y89">
        <v>0.24560000000000001</v>
      </c>
      <c r="Z89">
        <v>0.22969999999999999</v>
      </c>
      <c r="AA89" t="s">
        <v>12</v>
      </c>
      <c r="AB89">
        <v>0.75680000000000003</v>
      </c>
      <c r="AC89">
        <v>0.69679999999999997</v>
      </c>
      <c r="AD89" t="s">
        <v>13</v>
      </c>
      <c r="AE89">
        <v>0.2409</v>
      </c>
      <c r="AF89">
        <v>0.21970000000000001</v>
      </c>
    </row>
    <row r="90" spans="1:32" x14ac:dyDescent="0.25">
      <c r="A90" s="3">
        <f t="shared" si="1"/>
        <v>90</v>
      </c>
      <c r="B90" t="s">
        <v>0</v>
      </c>
      <c r="C90" t="s">
        <v>11</v>
      </c>
      <c r="D90" t="s">
        <v>4</v>
      </c>
      <c r="E90" t="s">
        <v>5</v>
      </c>
      <c r="F90" t="s">
        <v>10</v>
      </c>
      <c r="G90" t="s">
        <v>7</v>
      </c>
    </row>
    <row r="91" spans="1:32" x14ac:dyDescent="0.25">
      <c r="A91" s="3">
        <f t="shared" si="1"/>
        <v>91</v>
      </c>
      <c r="B91" t="s">
        <v>0</v>
      </c>
      <c r="C91" t="s">
        <v>1</v>
      </c>
      <c r="D91">
        <v>1.4654</v>
      </c>
      <c r="E91">
        <v>1.0952999999999999</v>
      </c>
      <c r="F91" t="s">
        <v>2</v>
      </c>
      <c r="G91">
        <v>0</v>
      </c>
      <c r="H91">
        <v>0</v>
      </c>
      <c r="I91" t="s">
        <v>6</v>
      </c>
      <c r="J91">
        <v>0.249</v>
      </c>
      <c r="K91">
        <v>0.22040000000000001</v>
      </c>
      <c r="L91" t="s">
        <v>3</v>
      </c>
      <c r="M91">
        <v>0.75309999999999999</v>
      </c>
      <c r="N91">
        <v>0.66490000000000005</v>
      </c>
      <c r="O91" t="s">
        <v>8</v>
      </c>
      <c r="P91">
        <v>0.24510000000000001</v>
      </c>
      <c r="Q91">
        <v>0.21229999999999999</v>
      </c>
      <c r="R91" t="s">
        <v>9</v>
      </c>
      <c r="S91">
        <v>0.75629999999999997</v>
      </c>
      <c r="T91">
        <v>0.66449999999999998</v>
      </c>
      <c r="U91" t="s">
        <v>10</v>
      </c>
      <c r="V91">
        <v>0.1046</v>
      </c>
      <c r="W91">
        <v>9.5299999999999996E-2</v>
      </c>
      <c r="X91" t="s">
        <v>11</v>
      </c>
      <c r="Y91">
        <v>0.9627</v>
      </c>
      <c r="Z91">
        <v>0.88149999999999995</v>
      </c>
      <c r="AA91" t="s">
        <v>12</v>
      </c>
      <c r="AB91">
        <v>0.2402</v>
      </c>
      <c r="AC91">
        <v>0.22090000000000001</v>
      </c>
      <c r="AD91" t="s">
        <v>13</v>
      </c>
      <c r="AE91">
        <v>0.75590000000000002</v>
      </c>
      <c r="AF91">
        <v>0.6633</v>
      </c>
    </row>
    <row r="92" spans="1:32" x14ac:dyDescent="0.25">
      <c r="A92" s="3">
        <f t="shared" si="1"/>
        <v>92</v>
      </c>
      <c r="B92" t="s">
        <v>0</v>
      </c>
      <c r="C92" t="s">
        <v>12</v>
      </c>
      <c r="D92" t="s">
        <v>4</v>
      </c>
      <c r="E92" t="s">
        <v>5</v>
      </c>
      <c r="F92" t="s">
        <v>11</v>
      </c>
      <c r="G92" t="s">
        <v>7</v>
      </c>
    </row>
    <row r="93" spans="1:32" x14ac:dyDescent="0.25">
      <c r="A93" s="3">
        <f t="shared" si="1"/>
        <v>93</v>
      </c>
      <c r="B93" t="s">
        <v>0</v>
      </c>
      <c r="C93" t="s">
        <v>1</v>
      </c>
      <c r="D93">
        <v>1.4681999999999999</v>
      </c>
      <c r="E93">
        <v>1.103</v>
      </c>
      <c r="F93" t="s">
        <v>2</v>
      </c>
      <c r="G93">
        <v>0</v>
      </c>
      <c r="H93">
        <v>0</v>
      </c>
      <c r="I93" t="s">
        <v>6</v>
      </c>
      <c r="J93">
        <v>0.85850000000000004</v>
      </c>
      <c r="K93">
        <v>0.79</v>
      </c>
      <c r="L93" t="s">
        <v>3</v>
      </c>
      <c r="M93">
        <v>0.3463</v>
      </c>
      <c r="N93">
        <v>0.31869999999999998</v>
      </c>
      <c r="O93" t="s">
        <v>8</v>
      </c>
      <c r="P93">
        <v>0.8579</v>
      </c>
      <c r="Q93">
        <v>0.79149999999999998</v>
      </c>
      <c r="R93" t="s">
        <v>9</v>
      </c>
      <c r="S93">
        <v>0.34739999999999999</v>
      </c>
      <c r="T93">
        <v>0.31950000000000001</v>
      </c>
      <c r="U93" t="s">
        <v>10</v>
      </c>
      <c r="V93">
        <v>0.86299999999999999</v>
      </c>
      <c r="W93">
        <v>0.7944</v>
      </c>
      <c r="X93" t="s">
        <v>11</v>
      </c>
      <c r="Y93">
        <v>0.10639999999999999</v>
      </c>
      <c r="Z93">
        <v>9.8199999999999996E-2</v>
      </c>
      <c r="AA93" t="s">
        <v>12</v>
      </c>
      <c r="AB93">
        <v>0.90749999999999997</v>
      </c>
      <c r="AC93">
        <v>0.83630000000000004</v>
      </c>
      <c r="AD93" t="s">
        <v>13</v>
      </c>
      <c r="AE93">
        <v>0.34939999999999999</v>
      </c>
      <c r="AF93">
        <v>0.32529999999999998</v>
      </c>
    </row>
    <row r="94" spans="1:32" x14ac:dyDescent="0.25">
      <c r="A94" s="3">
        <f t="shared" si="1"/>
        <v>94</v>
      </c>
      <c r="B94" t="s">
        <v>0</v>
      </c>
      <c r="C94" t="s">
        <v>13</v>
      </c>
      <c r="D94" t="s">
        <v>4</v>
      </c>
      <c r="E94" t="s">
        <v>5</v>
      </c>
      <c r="F94" t="s">
        <v>12</v>
      </c>
      <c r="G94" t="s">
        <v>7</v>
      </c>
    </row>
    <row r="95" spans="1:32" x14ac:dyDescent="0.25">
      <c r="A95" s="3">
        <f t="shared" si="1"/>
        <v>95</v>
      </c>
      <c r="B95" t="s">
        <v>0</v>
      </c>
      <c r="C95" t="s">
        <v>1</v>
      </c>
      <c r="D95">
        <v>1.5065</v>
      </c>
      <c r="E95">
        <v>1.0803</v>
      </c>
      <c r="F95" t="s">
        <v>2</v>
      </c>
      <c r="G95">
        <v>0</v>
      </c>
      <c r="H95">
        <v>0</v>
      </c>
      <c r="I95" t="s">
        <v>6</v>
      </c>
      <c r="J95">
        <v>0.1605</v>
      </c>
      <c r="K95">
        <v>0.14899999999999999</v>
      </c>
      <c r="L95" t="s">
        <v>3</v>
      </c>
      <c r="M95">
        <v>0.6734</v>
      </c>
      <c r="N95">
        <v>0.59870000000000001</v>
      </c>
      <c r="O95" t="s">
        <v>8</v>
      </c>
      <c r="P95">
        <v>0.16009999999999999</v>
      </c>
      <c r="Q95">
        <v>0.14460000000000001</v>
      </c>
      <c r="R95" t="s">
        <v>9</v>
      </c>
      <c r="S95">
        <v>0.67379999999999995</v>
      </c>
      <c r="T95">
        <v>0.59850000000000003</v>
      </c>
      <c r="U95" t="s">
        <v>10</v>
      </c>
      <c r="V95">
        <v>0.16089999999999999</v>
      </c>
      <c r="W95">
        <v>0.14460000000000001</v>
      </c>
      <c r="X95" t="s">
        <v>11</v>
      </c>
      <c r="Y95">
        <v>0.67400000000000004</v>
      </c>
      <c r="Z95">
        <v>0.59750000000000003</v>
      </c>
      <c r="AA95" t="s">
        <v>12</v>
      </c>
      <c r="AB95">
        <v>0.1074</v>
      </c>
      <c r="AC95">
        <v>9.7100000000000006E-2</v>
      </c>
      <c r="AD95" t="s">
        <v>13</v>
      </c>
      <c r="AE95">
        <v>0.99850000000000005</v>
      </c>
      <c r="AF95">
        <v>0.88260000000000005</v>
      </c>
    </row>
    <row r="96" spans="1:32" x14ac:dyDescent="0.25">
      <c r="A96" s="3">
        <f t="shared" si="1"/>
        <v>96</v>
      </c>
      <c r="B96" t="s">
        <v>0</v>
      </c>
      <c r="C96" t="s">
        <v>6</v>
      </c>
      <c r="D96" t="s">
        <v>4</v>
      </c>
      <c r="E96" t="s">
        <v>5</v>
      </c>
      <c r="F96" t="s">
        <v>13</v>
      </c>
      <c r="G96" t="s">
        <v>7</v>
      </c>
    </row>
    <row r="97" spans="1:32" x14ac:dyDescent="0.25">
      <c r="A97" s="3">
        <f t="shared" si="1"/>
        <v>97</v>
      </c>
      <c r="B97" t="s">
        <v>0</v>
      </c>
      <c r="C97" t="s">
        <v>1</v>
      </c>
      <c r="D97">
        <v>1.5186999999999999</v>
      </c>
      <c r="E97">
        <v>1.0662</v>
      </c>
      <c r="F97" t="s">
        <v>2</v>
      </c>
      <c r="G97">
        <v>0</v>
      </c>
      <c r="H97">
        <v>0</v>
      </c>
      <c r="I97" t="s">
        <v>6</v>
      </c>
      <c r="J97">
        <v>1.0722</v>
      </c>
      <c r="K97">
        <v>0.94120000000000004</v>
      </c>
      <c r="L97" t="s">
        <v>3</v>
      </c>
      <c r="M97">
        <v>0.45700000000000002</v>
      </c>
      <c r="N97">
        <v>0.40639999999999998</v>
      </c>
      <c r="O97" t="s">
        <v>8</v>
      </c>
      <c r="P97">
        <v>0.96130000000000004</v>
      </c>
      <c r="Q97">
        <v>0.85289999999999999</v>
      </c>
      <c r="R97" t="s">
        <v>9</v>
      </c>
      <c r="S97">
        <v>0.45779999999999998</v>
      </c>
      <c r="T97">
        <v>0.40710000000000002</v>
      </c>
      <c r="U97" t="s">
        <v>10</v>
      </c>
      <c r="V97">
        <v>0.95660000000000001</v>
      </c>
      <c r="W97">
        <v>0.84640000000000004</v>
      </c>
      <c r="X97" t="s">
        <v>11</v>
      </c>
      <c r="Y97">
        <v>0.45739999999999997</v>
      </c>
      <c r="Z97">
        <v>0.40570000000000001</v>
      </c>
      <c r="AA97" t="s">
        <v>12</v>
      </c>
      <c r="AB97">
        <v>0.96060000000000001</v>
      </c>
      <c r="AC97">
        <v>0.85189999999999999</v>
      </c>
      <c r="AD97" t="s">
        <v>13</v>
      </c>
      <c r="AE97">
        <v>0.10580000000000001</v>
      </c>
      <c r="AF97">
        <v>9.4200000000000006E-2</v>
      </c>
    </row>
    <row r="98" spans="1:32" x14ac:dyDescent="0.25">
      <c r="B98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1F979-8581-4301-BD2A-AAB14BA7A044}">
  <dimension ref="A1:AG128"/>
  <sheetViews>
    <sheetView zoomScale="85" zoomScaleNormal="85" workbookViewId="0">
      <selection activeCell="S119" sqref="S119"/>
    </sheetView>
  </sheetViews>
  <sheetFormatPr defaultRowHeight="15" x14ac:dyDescent="0.25"/>
  <cols>
    <col min="1" max="1" width="14.42578125" bestFit="1" customWidth="1"/>
    <col min="6" max="6" width="9.5703125" bestFit="1" customWidth="1"/>
    <col min="15" max="15" width="9.7109375" bestFit="1" customWidth="1"/>
  </cols>
  <sheetData>
    <row r="1" spans="1:33" x14ac:dyDescent="0.25">
      <c r="A1" s="12" t="s">
        <v>15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spans="1:33" x14ac:dyDescent="0.25">
      <c r="B2" cm="1">
        <f t="array" ref="B2:AG6">_xlfn._xlws.FILTER('Dado Bruto'!A:AF, ('Dado Bruto'!A:A=3) + ('Dado Bruto'!A:A=23) + ('Dado Bruto'!A:A=43)+ ('Dado Bruto'!A:A=63)+ ('Dado Bruto'!A:A=83), "Não encontrado")</f>
        <v>3</v>
      </c>
      <c r="C2" t="str">
        <v>-&gt;</v>
      </c>
      <c r="D2" t="str">
        <v>E91</v>
      </c>
      <c r="E2">
        <v>1.5044</v>
      </c>
      <c r="F2">
        <v>1.0908</v>
      </c>
      <c r="G2" t="str">
        <v>E92</v>
      </c>
      <c r="H2">
        <v>0</v>
      </c>
      <c r="I2">
        <v>0</v>
      </c>
      <c r="J2" t="str">
        <v>E0</v>
      </c>
      <c r="K2">
        <v>0.10979999999999999</v>
      </c>
      <c r="L2">
        <v>9.8500000000000004E-2</v>
      </c>
      <c r="M2" t="str">
        <v>E1</v>
      </c>
      <c r="N2">
        <v>1.0208999999999999</v>
      </c>
      <c r="O2">
        <v>0.90280000000000005</v>
      </c>
      <c r="P2" t="str">
        <v>E2</v>
      </c>
      <c r="Q2">
        <v>0.28060000000000002</v>
      </c>
      <c r="R2">
        <v>0.251</v>
      </c>
      <c r="S2" t="str">
        <v>E3</v>
      </c>
      <c r="T2">
        <v>0.79679999999999995</v>
      </c>
      <c r="U2">
        <v>0.70660000000000001</v>
      </c>
      <c r="V2" t="str">
        <v>E4</v>
      </c>
      <c r="W2">
        <v>0.28270000000000001</v>
      </c>
      <c r="X2">
        <v>0.25190000000000001</v>
      </c>
      <c r="Y2" t="str">
        <v>E5</v>
      </c>
      <c r="Z2">
        <v>0.7964</v>
      </c>
      <c r="AA2">
        <v>0.70179999999999998</v>
      </c>
      <c r="AB2" t="str">
        <v>E6</v>
      </c>
      <c r="AC2">
        <v>0.27389999999999998</v>
      </c>
      <c r="AD2">
        <v>0.24260000000000001</v>
      </c>
      <c r="AE2" t="str">
        <v>E7</v>
      </c>
      <c r="AF2">
        <v>0.79700000000000004</v>
      </c>
      <c r="AG2">
        <v>0.67659999999999998</v>
      </c>
    </row>
    <row r="3" spans="1:33" x14ac:dyDescent="0.25">
      <c r="B3">
        <v>23</v>
      </c>
      <c r="C3" t="str">
        <v>-&gt;</v>
      </c>
      <c r="D3" t="str">
        <v>E91</v>
      </c>
      <c r="E3">
        <v>1.4996</v>
      </c>
      <c r="F3">
        <v>1.0863</v>
      </c>
      <c r="G3" t="str">
        <v>E92</v>
      </c>
      <c r="H3">
        <v>0</v>
      </c>
      <c r="I3">
        <v>0</v>
      </c>
      <c r="J3" t="str">
        <v>E0</v>
      </c>
      <c r="K3">
        <v>0.10920000000000001</v>
      </c>
      <c r="L3">
        <v>9.8400000000000001E-2</v>
      </c>
      <c r="M3" t="str">
        <v>E1</v>
      </c>
      <c r="N3">
        <v>1.0107999999999999</v>
      </c>
      <c r="O3">
        <v>0.88919999999999999</v>
      </c>
      <c r="P3" t="str">
        <v>E2</v>
      </c>
      <c r="Q3">
        <v>0.2792</v>
      </c>
      <c r="R3">
        <v>0.25259999999999999</v>
      </c>
      <c r="S3" t="str">
        <v>E3</v>
      </c>
      <c r="T3">
        <v>0.79359999999999997</v>
      </c>
      <c r="U3">
        <v>0.70960000000000001</v>
      </c>
      <c r="V3" t="str">
        <v>E4</v>
      </c>
      <c r="W3">
        <v>0.27889999999999998</v>
      </c>
      <c r="X3">
        <v>0.25209999999999999</v>
      </c>
      <c r="Y3" t="str">
        <v>E5</v>
      </c>
      <c r="Z3">
        <v>0.79279999999999995</v>
      </c>
      <c r="AA3">
        <v>0.70109999999999995</v>
      </c>
      <c r="AB3" t="str">
        <v>E6</v>
      </c>
      <c r="AC3">
        <v>0.28050000000000003</v>
      </c>
      <c r="AD3">
        <v>0.24579999999999999</v>
      </c>
      <c r="AE3" t="str">
        <v>E7</v>
      </c>
      <c r="AF3">
        <v>0.7944</v>
      </c>
      <c r="AG3">
        <v>0.69199999999999995</v>
      </c>
    </row>
    <row r="4" spans="1:33" x14ac:dyDescent="0.25">
      <c r="B4">
        <v>43</v>
      </c>
      <c r="C4" t="str">
        <v>-&gt;</v>
      </c>
      <c r="D4" t="str">
        <v>E91</v>
      </c>
      <c r="E4">
        <v>1.5152000000000001</v>
      </c>
      <c r="F4">
        <v>1.0754999999999999</v>
      </c>
      <c r="G4" t="str">
        <v>E92</v>
      </c>
      <c r="H4">
        <v>0</v>
      </c>
      <c r="I4">
        <v>0</v>
      </c>
      <c r="J4" t="str">
        <v>E0</v>
      </c>
      <c r="K4">
        <v>0.1094</v>
      </c>
      <c r="L4">
        <v>9.8500000000000004E-2</v>
      </c>
      <c r="M4" t="str">
        <v>E1</v>
      </c>
      <c r="N4">
        <v>1.0228999999999999</v>
      </c>
      <c r="O4">
        <v>0.90339999999999998</v>
      </c>
      <c r="P4" t="str">
        <v>E2</v>
      </c>
      <c r="Q4">
        <v>0.28410000000000002</v>
      </c>
      <c r="R4">
        <v>0.25080000000000002</v>
      </c>
      <c r="S4" t="str">
        <v>E3</v>
      </c>
      <c r="T4">
        <v>0.79300000000000004</v>
      </c>
      <c r="U4">
        <v>0.69320000000000004</v>
      </c>
      <c r="V4" t="str">
        <v>E4</v>
      </c>
      <c r="W4">
        <v>0.28129999999999999</v>
      </c>
      <c r="X4">
        <v>0.24410000000000001</v>
      </c>
      <c r="Y4" t="str">
        <v>E5</v>
      </c>
      <c r="Z4">
        <v>0.78879999999999995</v>
      </c>
      <c r="AA4">
        <v>0.68359999999999999</v>
      </c>
      <c r="AB4" t="str">
        <v>E6</v>
      </c>
      <c r="AC4">
        <v>0.28010000000000002</v>
      </c>
      <c r="AD4">
        <v>0.2442</v>
      </c>
      <c r="AE4" t="str">
        <v>E7</v>
      </c>
      <c r="AF4">
        <v>0.79049999999999998</v>
      </c>
      <c r="AG4">
        <v>0.66639999999999999</v>
      </c>
    </row>
    <row r="5" spans="1:33" x14ac:dyDescent="0.25">
      <c r="B5">
        <v>63</v>
      </c>
      <c r="C5" t="str">
        <v>-&gt;</v>
      </c>
      <c r="D5" t="str">
        <v>E91</v>
      </c>
      <c r="E5">
        <v>1.4655</v>
      </c>
      <c r="F5">
        <v>1.0940000000000001</v>
      </c>
      <c r="G5" t="str">
        <v>E92</v>
      </c>
      <c r="H5">
        <v>0</v>
      </c>
      <c r="I5">
        <v>0</v>
      </c>
      <c r="J5" t="str">
        <v>E0</v>
      </c>
      <c r="K5">
        <v>0.1103</v>
      </c>
      <c r="L5">
        <v>9.8699999999999996E-2</v>
      </c>
      <c r="M5" t="str">
        <v>E1</v>
      </c>
      <c r="N5">
        <v>1.0214000000000001</v>
      </c>
      <c r="O5">
        <v>0.90710000000000002</v>
      </c>
      <c r="P5" t="str">
        <v>E2</v>
      </c>
      <c r="Q5">
        <v>0.28139999999999998</v>
      </c>
      <c r="R5">
        <v>0.25090000000000001</v>
      </c>
      <c r="S5" t="str">
        <v>E3</v>
      </c>
      <c r="T5">
        <v>0.79679999999999995</v>
      </c>
      <c r="U5">
        <v>0.70689999999999997</v>
      </c>
      <c r="V5" t="str">
        <v>E4</v>
      </c>
      <c r="W5">
        <v>0.28160000000000002</v>
      </c>
      <c r="X5">
        <v>0.25240000000000001</v>
      </c>
      <c r="Y5" t="str">
        <v>E5</v>
      </c>
      <c r="Z5">
        <v>0.79620000000000002</v>
      </c>
      <c r="AA5">
        <v>0.70399999999999996</v>
      </c>
      <c r="AB5" t="str">
        <v>E6</v>
      </c>
      <c r="AC5">
        <v>0.28050000000000003</v>
      </c>
      <c r="AD5">
        <v>0.251</v>
      </c>
      <c r="AE5" t="str">
        <v>E7</v>
      </c>
      <c r="AF5">
        <v>0.79630000000000001</v>
      </c>
      <c r="AG5">
        <v>0.70369999999999999</v>
      </c>
    </row>
    <row r="6" spans="1:33" x14ac:dyDescent="0.25">
      <c r="B6">
        <v>83</v>
      </c>
      <c r="C6" t="str">
        <v>-&gt;</v>
      </c>
      <c r="D6" t="str">
        <v>E91</v>
      </c>
      <c r="E6">
        <v>1.4850000000000001</v>
      </c>
      <c r="F6">
        <v>1.0909</v>
      </c>
      <c r="G6" t="str">
        <v>E92</v>
      </c>
      <c r="H6">
        <v>0</v>
      </c>
      <c r="I6">
        <v>0</v>
      </c>
      <c r="J6" t="str">
        <v>E0</v>
      </c>
      <c r="K6">
        <v>0.1095</v>
      </c>
      <c r="L6">
        <v>9.7299999999999998E-2</v>
      </c>
      <c r="M6" t="str">
        <v>E1</v>
      </c>
      <c r="N6">
        <v>1.0222</v>
      </c>
      <c r="O6">
        <v>0.90559999999999996</v>
      </c>
      <c r="P6" t="str">
        <v>E2</v>
      </c>
      <c r="Q6">
        <v>0.28149999999999997</v>
      </c>
      <c r="R6">
        <v>0.24740000000000001</v>
      </c>
      <c r="S6" t="str">
        <v>E3</v>
      </c>
      <c r="T6">
        <v>0.7964</v>
      </c>
      <c r="U6">
        <v>0.70640000000000003</v>
      </c>
      <c r="V6" t="str">
        <v>E4</v>
      </c>
      <c r="W6">
        <v>0.28179999999999999</v>
      </c>
      <c r="X6">
        <v>0.25119999999999998</v>
      </c>
      <c r="Y6" t="str">
        <v>E5</v>
      </c>
      <c r="Z6">
        <v>0.7954</v>
      </c>
      <c r="AA6">
        <v>0.70320000000000005</v>
      </c>
      <c r="AB6" t="str">
        <v>E6</v>
      </c>
      <c r="AC6">
        <v>0.28100000000000003</v>
      </c>
      <c r="AD6">
        <v>0.25080000000000002</v>
      </c>
      <c r="AE6" t="str">
        <v>E7</v>
      </c>
      <c r="AF6">
        <v>0.79349999999999998</v>
      </c>
      <c r="AG6">
        <v>0.7016</v>
      </c>
    </row>
    <row r="7" spans="1:33" x14ac:dyDescent="0.25">
      <c r="A7" t="s">
        <v>23</v>
      </c>
      <c r="E7">
        <f>AVERAGE(E2:E6)</f>
        <v>1.49394</v>
      </c>
      <c r="F7">
        <f>AVERAGE(F2:F6)</f>
        <v>1.0874999999999999</v>
      </c>
      <c r="K7">
        <f t="shared" ref="K7:AG7" si="0">AVERAGE(K2:K6)</f>
        <v>0.10964</v>
      </c>
      <c r="L7">
        <f t="shared" si="0"/>
        <v>9.8280000000000006E-2</v>
      </c>
      <c r="N7">
        <f t="shared" si="0"/>
        <v>1.0196399999999999</v>
      </c>
      <c r="O7">
        <f t="shared" si="0"/>
        <v>0.90161999999999998</v>
      </c>
      <c r="Q7">
        <f t="shared" si="0"/>
        <v>0.28136</v>
      </c>
      <c r="R7">
        <f t="shared" si="0"/>
        <v>0.25054000000000004</v>
      </c>
      <c r="T7">
        <f t="shared" si="0"/>
        <v>0.79532000000000003</v>
      </c>
      <c r="U7">
        <f t="shared" si="0"/>
        <v>0.70453999999999994</v>
      </c>
      <c r="W7">
        <f t="shared" si="0"/>
        <v>0.28126000000000001</v>
      </c>
      <c r="X7">
        <f t="shared" si="0"/>
        <v>0.25034000000000001</v>
      </c>
      <c r="Z7">
        <f t="shared" si="0"/>
        <v>0.79391999999999996</v>
      </c>
      <c r="AA7">
        <f t="shared" si="0"/>
        <v>0.69873999999999992</v>
      </c>
      <c r="AC7">
        <f t="shared" si="0"/>
        <v>0.2792</v>
      </c>
      <c r="AD7">
        <f t="shared" si="0"/>
        <v>0.24687999999999999</v>
      </c>
      <c r="AF7">
        <f t="shared" si="0"/>
        <v>0.79433999999999994</v>
      </c>
      <c r="AG7">
        <f t="shared" si="0"/>
        <v>0.68805999999999989</v>
      </c>
    </row>
    <row r="8" spans="1:33" s="4" customFormat="1" x14ac:dyDescent="0.25">
      <c r="A8" s="4" t="s">
        <v>25</v>
      </c>
      <c r="E8" s="4">
        <f>_xlfn.STDEV.P(E2:E6)</f>
        <v>1.7217386561264175E-2</v>
      </c>
      <c r="F8" s="4">
        <f>_xlfn.STDEV.P(F2:F6)</f>
        <v>6.4829005853861924E-3</v>
      </c>
      <c r="K8" s="4">
        <f>_xlfn.STDEV.P(K2:K6)</f>
        <v>3.8262252939417682E-4</v>
      </c>
      <c r="L8" s="4">
        <f>_xlfn.STDEV.P(L2:L6)</f>
        <v>4.9959983987187288E-4</v>
      </c>
      <c r="N8" s="4">
        <f t="shared" ref="N8:AG8" si="1">_xlfn.STDEV.P(N2:N6)</f>
        <v>4.4724042751075384E-3</v>
      </c>
      <c r="O8" s="4">
        <f t="shared" si="1"/>
        <v>6.3982497606767455E-3</v>
      </c>
      <c r="Q8" s="4">
        <f t="shared" si="1"/>
        <v>1.5982490419205672E-3</v>
      </c>
      <c r="R8" s="4">
        <f t="shared" si="1"/>
        <v>1.7036431551237443E-3</v>
      </c>
      <c r="T8" s="4">
        <f t="shared" si="1"/>
        <v>1.6666133324799506E-3</v>
      </c>
      <c r="U8" s="4">
        <f t="shared" si="1"/>
        <v>5.7874346648579839E-3</v>
      </c>
      <c r="W8" s="4">
        <f t="shared" si="1"/>
        <v>1.2690153663372334E-3</v>
      </c>
      <c r="X8" s="4">
        <f t="shared" si="1"/>
        <v>3.1449006343603255E-3</v>
      </c>
      <c r="Z8" s="4">
        <f t="shared" si="1"/>
        <v>2.8638435711470251E-3</v>
      </c>
      <c r="AA8" s="4">
        <f t="shared" si="1"/>
        <v>7.6382196878592079E-3</v>
      </c>
      <c r="AC8" s="4">
        <f t="shared" si="1"/>
        <v>2.6653329998332482E-3</v>
      </c>
      <c r="AD8" s="4">
        <f t="shared" si="1"/>
        <v>3.4353456885734255E-3</v>
      </c>
      <c r="AF8" s="4">
        <f t="shared" si="1"/>
        <v>2.2966061917534071E-3</v>
      </c>
      <c r="AG8" s="4">
        <f t="shared" si="1"/>
        <v>1.444958130881307E-2</v>
      </c>
    </row>
    <row r="9" spans="1:33" s="4" customFormat="1" x14ac:dyDescent="0.25">
      <c r="A9" s="4" t="s">
        <v>26</v>
      </c>
      <c r="E9" s="1">
        <f>20*LOG10(E7/E8)</f>
        <v>38.767318506322951</v>
      </c>
      <c r="F9" s="1">
        <f>20*LOG10(F7/F8)</f>
        <v>44.493198076678539</v>
      </c>
      <c r="G9" s="1"/>
      <c r="H9" s="1"/>
      <c r="I9" s="1"/>
      <c r="J9" s="1"/>
      <c r="K9" s="1">
        <f>20*LOG10(K7/K8)</f>
        <v>49.143969770125551</v>
      </c>
      <c r="L9" s="1">
        <f>20*LOG10(L7/L8)</f>
        <v>45.876857146056985</v>
      </c>
      <c r="M9" s="1"/>
      <c r="N9" s="1">
        <f t="shared" ref="N9:AG9" si="2">20*LOG10(N7/N8)</f>
        <v>47.158116207262367</v>
      </c>
      <c r="O9" s="1">
        <f t="shared" si="2"/>
        <v>42.979246953790607</v>
      </c>
      <c r="P9" s="1"/>
      <c r="Q9" s="1">
        <f t="shared" si="2"/>
        <v>44.912358050863823</v>
      </c>
      <c r="R9" s="1">
        <f t="shared" si="2"/>
        <v>43.349968807946368</v>
      </c>
      <c r="S9" s="1"/>
      <c r="T9" s="1">
        <f t="shared" si="2"/>
        <v>53.57414104186504</v>
      </c>
      <c r="U9" s="1">
        <f t="shared" si="2"/>
        <v>41.708391076227429</v>
      </c>
      <c r="V9" s="1"/>
      <c r="W9" s="1">
        <f t="shared" si="2"/>
        <v>46.912821829723697</v>
      </c>
      <c r="X9" s="1">
        <f t="shared" si="2"/>
        <v>38.018466395551421</v>
      </c>
      <c r="Y9" s="10"/>
      <c r="Z9" s="1">
        <f t="shared" si="2"/>
        <v>48.856549006800726</v>
      </c>
      <c r="AA9" s="1">
        <f t="shared" si="2"/>
        <v>39.226469205964953</v>
      </c>
      <c r="AB9" s="1"/>
      <c r="AC9" s="1">
        <f t="shared" si="2"/>
        <v>40.403278751316961</v>
      </c>
      <c r="AD9" s="1">
        <f t="shared" si="2"/>
        <v>37.130309267366478</v>
      </c>
      <c r="AE9" s="1"/>
      <c r="AF9" s="1">
        <f t="shared" si="2"/>
        <v>50.778398023653438</v>
      </c>
      <c r="AG9" s="1">
        <f t="shared" si="2"/>
        <v>33.555420958969457</v>
      </c>
    </row>
    <row r="10" spans="1:33" s="4" customFormat="1" x14ac:dyDescent="0.25">
      <c r="A10" s="18" t="s">
        <v>24</v>
      </c>
      <c r="B10" s="2"/>
      <c r="C10" s="2"/>
      <c r="D10" s="2"/>
      <c r="E10" s="6">
        <f>(0.000528043*2*1000)</f>
        <v>1.0560859999999999</v>
      </c>
      <c r="F10" s="6">
        <f>(0.000527572*2*1000)</f>
        <v>1.0551440000000001</v>
      </c>
      <c r="G10" s="6"/>
      <c r="H10" s="6"/>
      <c r="I10" s="6"/>
      <c r="J10" s="6"/>
      <c r="K10" s="6">
        <v>0.13200000000000001</v>
      </c>
      <c r="L10" s="6">
        <v>0.13189999999999999</v>
      </c>
      <c r="M10" s="6"/>
      <c r="N10" s="6">
        <v>1.0978000000000001</v>
      </c>
      <c r="O10" s="6">
        <v>1.0968</v>
      </c>
      <c r="P10" s="6"/>
      <c r="Q10" s="6">
        <v>0.30570000000000003</v>
      </c>
      <c r="R10" s="6">
        <v>0.30549999999999999</v>
      </c>
      <c r="S10" s="6"/>
      <c r="T10" s="6">
        <v>0.8306</v>
      </c>
      <c r="U10" s="6">
        <v>0.82989999999999997</v>
      </c>
      <c r="V10" s="6"/>
      <c r="W10" s="6">
        <v>0.30570000000000003</v>
      </c>
      <c r="X10" s="6">
        <v>0.30549999999999999</v>
      </c>
      <c r="Y10" s="6"/>
      <c r="Z10" s="6">
        <v>0.8306</v>
      </c>
      <c r="AA10" s="6">
        <v>0.82989999999999997</v>
      </c>
      <c r="AB10" s="6"/>
      <c r="AC10" s="6">
        <v>0.30570000000000003</v>
      </c>
      <c r="AD10" s="6">
        <v>0.30549999999999999</v>
      </c>
      <c r="AE10" s="16"/>
      <c r="AF10" s="6">
        <v>0.8306</v>
      </c>
      <c r="AG10" s="6">
        <v>0.82989999999999997</v>
      </c>
    </row>
    <row r="11" spans="1:33" s="5" customFormat="1" x14ac:dyDescent="0.25">
      <c r="A11" s="5" t="s">
        <v>58</v>
      </c>
      <c r="K11" s="17">
        <f>K7/$E$7</f>
        <v>7.3389828239420585E-2</v>
      </c>
      <c r="L11" s="17">
        <f>L7/$F$7</f>
        <v>9.0372413793103457E-2</v>
      </c>
      <c r="N11" s="17">
        <f>N7/$E$7</f>
        <v>0.68251737017550895</v>
      </c>
      <c r="O11" s="17">
        <f>O7/$F$7</f>
        <v>0.82907586206896555</v>
      </c>
      <c r="Q11" s="17">
        <f>Q7/$E$7</f>
        <v>0.18833420351553609</v>
      </c>
      <c r="R11" s="17">
        <f>R7/$F$7</f>
        <v>0.23038160919540235</v>
      </c>
      <c r="T11" s="17">
        <f>T7/$E$7</f>
        <v>0.53236408423363724</v>
      </c>
      <c r="U11" s="17">
        <f>U7/$F$7</f>
        <v>0.64785287356321841</v>
      </c>
      <c r="W11" s="17">
        <f>W7/$E$7</f>
        <v>0.18826726642301564</v>
      </c>
      <c r="X11" s="17">
        <f>X7/$F$7</f>
        <v>0.23019770114942531</v>
      </c>
      <c r="Z11" s="17">
        <f>Z7/$E$7</f>
        <v>0.53142696493835084</v>
      </c>
      <c r="AA11" s="17">
        <f>AA7/$F$7</f>
        <v>0.642519540229885</v>
      </c>
      <c r="AC11" s="17">
        <f>AC7/$E$7</f>
        <v>0.18688836231709438</v>
      </c>
      <c r="AD11" s="17">
        <f>AD7/$F$7</f>
        <v>0.227016091954023</v>
      </c>
      <c r="AF11" s="17">
        <f>AF7/$E$7</f>
        <v>0.53170810072693675</v>
      </c>
      <c r="AG11" s="17">
        <f>AG7/$F$7</f>
        <v>0.63269885057471265</v>
      </c>
    </row>
    <row r="12" spans="1:33" s="5" customFormat="1" x14ac:dyDescent="0.25">
      <c r="A12" s="5" t="s">
        <v>59</v>
      </c>
      <c r="K12" s="17">
        <f>K10/$E$10</f>
        <v>0.12498982090473695</v>
      </c>
      <c r="L12" s="17">
        <f>L10/$F$10</f>
        <v>0.12500663416557359</v>
      </c>
      <c r="N12" s="17">
        <f>N10/$E$10</f>
        <v>1.0394986771910624</v>
      </c>
      <c r="O12" s="17">
        <f>O10/$F$10</f>
        <v>1.0394789715906074</v>
      </c>
      <c r="Q12" s="17">
        <f>Q10/$E$10</f>
        <v>0.28946506250437942</v>
      </c>
      <c r="R12" s="17">
        <f>R10/$F$10</f>
        <v>0.28953394039107455</v>
      </c>
      <c r="T12" s="17">
        <f>T10/$E$10</f>
        <v>0.78648897911723115</v>
      </c>
      <c r="U12" s="17">
        <f>U10/$F$10</f>
        <v>0.7865277156482906</v>
      </c>
      <c r="W12" s="17">
        <f>W10/$E$10</f>
        <v>0.28946506250437942</v>
      </c>
      <c r="X12" s="17">
        <f>X10/$F$10</f>
        <v>0.28953394039107455</v>
      </c>
      <c r="Z12" s="17">
        <f>Z10/$E$10</f>
        <v>0.78648897911723115</v>
      </c>
      <c r="AA12" s="17">
        <f>AA10/$F$10</f>
        <v>0.7865277156482906</v>
      </c>
      <c r="AC12" s="17">
        <f>AC10/$E$10</f>
        <v>0.28946506250437942</v>
      </c>
      <c r="AD12" s="17">
        <f>AD10/$F$10</f>
        <v>0.28953394039107455</v>
      </c>
      <c r="AF12" s="17">
        <f>AF10/$E$10</f>
        <v>0.78648897911723115</v>
      </c>
      <c r="AG12" s="17">
        <f>AG10/$F$10</f>
        <v>0.7865277156482906</v>
      </c>
    </row>
    <row r="13" spans="1:33" x14ac:dyDescent="0.25">
      <c r="A13" s="5" t="s">
        <v>30</v>
      </c>
      <c r="B13" s="5"/>
      <c r="C13" s="5"/>
      <c r="D13" s="5"/>
      <c r="E13" s="5"/>
      <c r="F13" s="5"/>
      <c r="G13" s="5"/>
      <c r="H13" s="5"/>
      <c r="I13" s="5"/>
      <c r="J13" s="5"/>
      <c r="K13" s="5">
        <f>1-((ABS(K11-K12))/K12)</f>
        <v>0.58716644050042954</v>
      </c>
      <c r="L13" s="5">
        <f t="shared" ref="L13:AG13" si="3">1-((ABS(L11-L12))/L12)</f>
        <v>0.72294094146558274</v>
      </c>
      <c r="M13" s="5"/>
      <c r="N13" s="5">
        <f t="shared" si="3"/>
        <v>0.65658320222187316</v>
      </c>
      <c r="O13" s="5">
        <f t="shared" si="3"/>
        <v>0.79758791156719244</v>
      </c>
      <c r="P13" s="5"/>
      <c r="Q13" s="5">
        <f t="shared" si="3"/>
        <v>0.65062844505694606</v>
      </c>
      <c r="R13" s="5">
        <f t="shared" si="3"/>
        <v>0.79569811015670588</v>
      </c>
      <c r="S13" s="5"/>
      <c r="T13" s="5">
        <f t="shared" si="3"/>
        <v>0.67688689653499268</v>
      </c>
      <c r="U13" s="5">
        <f t="shared" si="3"/>
        <v>0.82368727849498558</v>
      </c>
      <c r="V13" s="5"/>
      <c r="W13" s="5">
        <f t="shared" si="3"/>
        <v>0.65039720094084674</v>
      </c>
      <c r="X13" s="5">
        <f t="shared" si="3"/>
        <v>0.79506292367138864</v>
      </c>
      <c r="Y13" s="5"/>
      <c r="Z13" s="5">
        <f t="shared" si="3"/>
        <v>0.67569537405957503</v>
      </c>
      <c r="AA13" s="5">
        <f t="shared" si="3"/>
        <v>0.81690641975698497</v>
      </c>
      <c r="AB13" s="5"/>
      <c r="AC13" s="5">
        <f t="shared" si="3"/>
        <v>0.64563357214920147</v>
      </c>
      <c r="AD13" s="5">
        <f t="shared" si="3"/>
        <v>0.78407419747540319</v>
      </c>
      <c r="AE13" s="5"/>
      <c r="AF13" s="5">
        <f t="shared" si="3"/>
        <v>0.67605283080220036</v>
      </c>
      <c r="AG13" s="5">
        <f t="shared" si="3"/>
        <v>0.80442028677045985</v>
      </c>
    </row>
    <row r="14" spans="1:33" hidden="1" x14ac:dyDescent="0.25">
      <c r="A14" s="12" t="s">
        <v>16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 spans="1:33" hidden="1" x14ac:dyDescent="0.25">
      <c r="B15" cm="1">
        <f t="array" ref="B15:AG19">_xlfn._xlws.FILTER('Dado Bruto'!A:AF, ('Dado Bruto'!A:A=5) + ('Dado Bruto'!A:A=25) + ('Dado Bruto'!A:A=45)+ ('Dado Bruto'!A:A=65)+ ('Dado Bruto'!A:A=85), "Não encontrado")</f>
        <v>5</v>
      </c>
      <c r="C15" t="str">
        <v>-&gt;</v>
      </c>
      <c r="D15" t="str">
        <v>E91</v>
      </c>
      <c r="E15">
        <v>1.482</v>
      </c>
      <c r="F15">
        <v>1.1034999999999999</v>
      </c>
      <c r="G15" t="str">
        <v>E92</v>
      </c>
      <c r="H15">
        <v>0</v>
      </c>
      <c r="I15">
        <v>0</v>
      </c>
      <c r="J15" t="str">
        <v>E0</v>
      </c>
      <c r="K15">
        <v>0.89059999999999995</v>
      </c>
      <c r="L15">
        <v>0.80600000000000005</v>
      </c>
      <c r="M15" t="str">
        <v>E1</v>
      </c>
      <c r="N15">
        <v>0.1091</v>
      </c>
      <c r="O15">
        <v>0.1008</v>
      </c>
      <c r="P15" t="str">
        <v>E2</v>
      </c>
      <c r="Q15">
        <v>0.94610000000000005</v>
      </c>
      <c r="R15">
        <v>0.86529999999999996</v>
      </c>
      <c r="S15" t="str">
        <v>E3</v>
      </c>
      <c r="T15">
        <v>0.37359999999999999</v>
      </c>
      <c r="U15">
        <v>0.34429999999999999</v>
      </c>
      <c r="V15" t="str">
        <v>E4</v>
      </c>
      <c r="W15">
        <v>0.88700000000000001</v>
      </c>
      <c r="X15">
        <v>0.81320000000000003</v>
      </c>
      <c r="Y15" t="str">
        <v>E5</v>
      </c>
      <c r="Z15">
        <v>0.3735</v>
      </c>
      <c r="AA15">
        <v>0.34310000000000002</v>
      </c>
      <c r="AB15" t="str">
        <v>E6</v>
      </c>
      <c r="AC15">
        <v>0.8831</v>
      </c>
      <c r="AD15">
        <v>0.81040000000000001</v>
      </c>
      <c r="AE15" t="str">
        <v>E7</v>
      </c>
      <c r="AF15">
        <v>0.3735</v>
      </c>
      <c r="AG15">
        <v>0.34799999999999998</v>
      </c>
    </row>
    <row r="16" spans="1:33" hidden="1" x14ac:dyDescent="0.25">
      <c r="B16">
        <v>25</v>
      </c>
      <c r="C16" t="str">
        <v>-&gt;</v>
      </c>
      <c r="D16" t="str">
        <v>E91</v>
      </c>
      <c r="E16">
        <v>1.472</v>
      </c>
      <c r="F16">
        <v>1.1255999999999999</v>
      </c>
      <c r="G16" t="str">
        <v>E92</v>
      </c>
      <c r="H16">
        <v>0</v>
      </c>
      <c r="I16">
        <v>0</v>
      </c>
      <c r="J16" t="str">
        <v>E0</v>
      </c>
      <c r="K16">
        <v>0.88790000000000002</v>
      </c>
      <c r="L16">
        <v>0.81379999999999997</v>
      </c>
      <c r="M16" t="str">
        <v>E1</v>
      </c>
      <c r="N16">
        <v>0.1091</v>
      </c>
      <c r="O16">
        <v>9.98E-2</v>
      </c>
      <c r="P16" t="str">
        <v>E2</v>
      </c>
      <c r="Q16">
        <v>0.94820000000000004</v>
      </c>
      <c r="R16">
        <v>0.86880000000000002</v>
      </c>
      <c r="S16" t="str">
        <v>E3</v>
      </c>
      <c r="T16">
        <v>0.37409999999999999</v>
      </c>
      <c r="U16">
        <v>0.34520000000000001</v>
      </c>
      <c r="V16" t="str">
        <v>E4</v>
      </c>
      <c r="W16">
        <v>0.88849999999999996</v>
      </c>
      <c r="X16">
        <v>0.81559999999999999</v>
      </c>
      <c r="Y16" t="str">
        <v>E5</v>
      </c>
      <c r="Z16">
        <v>0.37419999999999998</v>
      </c>
      <c r="AA16">
        <v>0.34429999999999999</v>
      </c>
      <c r="AB16" t="str">
        <v>E6</v>
      </c>
      <c r="AC16">
        <v>0.88719999999999999</v>
      </c>
      <c r="AD16">
        <v>0.8135</v>
      </c>
      <c r="AE16" t="str">
        <v>E7</v>
      </c>
      <c r="AF16">
        <v>0.37459999999999999</v>
      </c>
      <c r="AG16">
        <v>0.34539999999999998</v>
      </c>
    </row>
    <row r="17" spans="1:33" hidden="1" x14ac:dyDescent="0.25">
      <c r="B17">
        <v>45</v>
      </c>
      <c r="C17" t="str">
        <v>-&gt;</v>
      </c>
      <c r="D17" t="str">
        <v>E91</v>
      </c>
      <c r="E17">
        <v>1.5022</v>
      </c>
      <c r="F17">
        <v>1.0827</v>
      </c>
      <c r="G17" t="str">
        <v>E92</v>
      </c>
      <c r="H17">
        <v>0</v>
      </c>
      <c r="I17">
        <v>0</v>
      </c>
      <c r="J17" t="str">
        <v>E0</v>
      </c>
      <c r="K17">
        <v>0.88859999999999995</v>
      </c>
      <c r="L17">
        <v>0.81359999999999999</v>
      </c>
      <c r="M17" t="str">
        <v>E1</v>
      </c>
      <c r="N17">
        <v>0.10970000000000001</v>
      </c>
      <c r="O17">
        <v>0.1009</v>
      </c>
      <c r="P17" t="str">
        <v>E2</v>
      </c>
      <c r="Q17">
        <v>0.9466</v>
      </c>
      <c r="R17">
        <v>0.86739999999999995</v>
      </c>
      <c r="S17" t="str">
        <v>E3</v>
      </c>
      <c r="T17">
        <v>0.37559999999999999</v>
      </c>
      <c r="U17">
        <v>0.34439999999999998</v>
      </c>
      <c r="V17" t="str">
        <v>E4</v>
      </c>
      <c r="W17">
        <v>0.8881</v>
      </c>
      <c r="X17">
        <v>0.81579999999999997</v>
      </c>
      <c r="Y17" t="str">
        <v>E5</v>
      </c>
      <c r="Z17">
        <v>0.37359999999999999</v>
      </c>
      <c r="AA17">
        <v>0.34370000000000001</v>
      </c>
      <c r="AB17" t="str">
        <v>E6</v>
      </c>
      <c r="AC17">
        <v>0.88349999999999995</v>
      </c>
      <c r="AD17">
        <v>0.81120000000000003</v>
      </c>
      <c r="AE17" t="str">
        <v>E7</v>
      </c>
      <c r="AF17">
        <v>0.375</v>
      </c>
      <c r="AG17">
        <v>0.34710000000000002</v>
      </c>
    </row>
    <row r="18" spans="1:33" hidden="1" x14ac:dyDescent="0.25">
      <c r="B18">
        <v>65</v>
      </c>
      <c r="C18" t="str">
        <v>-&gt;</v>
      </c>
      <c r="D18" t="str">
        <v>E91</v>
      </c>
      <c r="E18">
        <v>1.4661999999999999</v>
      </c>
      <c r="F18">
        <v>1.1117999999999999</v>
      </c>
      <c r="G18" t="str">
        <v>E92</v>
      </c>
      <c r="H18">
        <v>0</v>
      </c>
      <c r="I18">
        <v>0</v>
      </c>
      <c r="J18" t="str">
        <v>E0</v>
      </c>
      <c r="K18">
        <v>0.88880000000000003</v>
      </c>
      <c r="L18">
        <v>0.81440000000000001</v>
      </c>
      <c r="M18" t="str">
        <v>E1</v>
      </c>
      <c r="N18">
        <v>0.10929999999999999</v>
      </c>
      <c r="O18">
        <v>0.10059999999999999</v>
      </c>
      <c r="P18" t="str">
        <v>E2</v>
      </c>
      <c r="Q18">
        <v>0.9466</v>
      </c>
      <c r="R18">
        <v>0.8659</v>
      </c>
      <c r="S18" t="str">
        <v>E3</v>
      </c>
      <c r="T18">
        <v>0.37409999999999999</v>
      </c>
      <c r="U18">
        <v>0.34599999999999997</v>
      </c>
      <c r="V18" t="str">
        <v>E4</v>
      </c>
      <c r="W18">
        <v>0.88660000000000005</v>
      </c>
      <c r="X18">
        <v>0.81220000000000003</v>
      </c>
      <c r="Y18" t="str">
        <v>E5</v>
      </c>
      <c r="Z18">
        <v>0.37359999999999999</v>
      </c>
      <c r="AA18">
        <v>0.34439999999999998</v>
      </c>
      <c r="AB18" t="str">
        <v>E6</v>
      </c>
      <c r="AC18">
        <v>0.8851</v>
      </c>
      <c r="AD18">
        <v>0.81289999999999996</v>
      </c>
      <c r="AE18" t="str">
        <v>E7</v>
      </c>
      <c r="AF18">
        <v>0.37440000000000001</v>
      </c>
      <c r="AG18">
        <v>0.35249999999999998</v>
      </c>
    </row>
    <row r="19" spans="1:33" hidden="1" x14ac:dyDescent="0.25">
      <c r="B19">
        <v>85</v>
      </c>
      <c r="C19" t="str">
        <v>-&gt;</v>
      </c>
      <c r="D19" t="str">
        <v>E91</v>
      </c>
      <c r="E19">
        <v>1.5025999999999999</v>
      </c>
      <c r="F19">
        <v>1.0919000000000001</v>
      </c>
      <c r="G19" t="str">
        <v>E92</v>
      </c>
      <c r="H19">
        <v>0</v>
      </c>
      <c r="I19">
        <v>0</v>
      </c>
      <c r="J19" t="str">
        <v>E0</v>
      </c>
      <c r="K19">
        <v>0.88800000000000001</v>
      </c>
      <c r="L19">
        <v>0.81210000000000004</v>
      </c>
      <c r="M19" t="str">
        <v>E1</v>
      </c>
      <c r="N19">
        <v>0.10929999999999999</v>
      </c>
      <c r="O19">
        <v>0.10100000000000001</v>
      </c>
      <c r="P19" t="str">
        <v>E2</v>
      </c>
      <c r="Q19">
        <v>0.95209999999999995</v>
      </c>
      <c r="R19">
        <v>0.87329999999999997</v>
      </c>
      <c r="S19" t="str">
        <v>E3</v>
      </c>
      <c r="T19">
        <v>0.37469999999999998</v>
      </c>
      <c r="U19">
        <v>0.34589999999999999</v>
      </c>
      <c r="V19" t="str">
        <v>E4</v>
      </c>
      <c r="W19">
        <v>0.89</v>
      </c>
      <c r="X19">
        <v>0.81659999999999999</v>
      </c>
      <c r="Y19" t="str">
        <v>E5</v>
      </c>
      <c r="Z19">
        <v>0.37330000000000002</v>
      </c>
      <c r="AA19">
        <v>0.34370000000000001</v>
      </c>
      <c r="AB19" t="str">
        <v>E6</v>
      </c>
      <c r="AC19">
        <v>0.88360000000000005</v>
      </c>
      <c r="AD19">
        <v>0.81</v>
      </c>
      <c r="AE19" t="str">
        <v>E7</v>
      </c>
      <c r="AF19">
        <v>0.37309999999999999</v>
      </c>
      <c r="AG19">
        <v>0.34739999999999999</v>
      </c>
    </row>
    <row r="20" spans="1:33" s="4" customFormat="1" hidden="1" x14ac:dyDescent="0.25">
      <c r="A20" t="s">
        <v>23</v>
      </c>
      <c r="B20"/>
      <c r="C20"/>
      <c r="D20"/>
      <c r="E20">
        <f>AVERAGE(E15:E19)</f>
        <v>1.4849999999999999</v>
      </c>
      <c r="F20">
        <f>AVERAGE(F15:F19)</f>
        <v>1.1031</v>
      </c>
      <c r="G20"/>
      <c r="H20"/>
      <c r="I20"/>
      <c r="J20"/>
      <c r="K20">
        <f t="shared" ref="K20:L20" si="4">AVERAGE(K15:K19)</f>
        <v>0.88878000000000001</v>
      </c>
      <c r="L20">
        <f t="shared" si="4"/>
        <v>0.81198000000000015</v>
      </c>
      <c r="M20"/>
      <c r="N20">
        <f t="shared" ref="N20:O20" si="5">AVERAGE(N15:N19)</f>
        <v>0.10929999999999999</v>
      </c>
      <c r="O20">
        <f t="shared" si="5"/>
        <v>0.10062</v>
      </c>
      <c r="P20"/>
      <c r="Q20">
        <f t="shared" ref="Q20:R20" si="6">AVERAGE(Q15:Q19)</f>
        <v>0.9479200000000001</v>
      </c>
      <c r="R20">
        <f t="shared" si="6"/>
        <v>0.86814000000000002</v>
      </c>
      <c r="S20"/>
      <c r="T20">
        <f t="shared" ref="T20:U20" si="7">AVERAGE(T15:T19)</f>
        <v>0.37441999999999998</v>
      </c>
      <c r="U20">
        <f t="shared" si="7"/>
        <v>0.34516000000000002</v>
      </c>
      <c r="V20"/>
      <c r="W20">
        <f t="shared" ref="W20:X20" si="8">AVERAGE(W15:W19)</f>
        <v>0.88803999999999994</v>
      </c>
      <c r="X20">
        <f t="shared" si="8"/>
        <v>0.81468000000000007</v>
      </c>
      <c r="Y20"/>
      <c r="Z20">
        <f t="shared" ref="Z20:AA20" si="9">AVERAGE(Z15:Z19)</f>
        <v>0.37363999999999997</v>
      </c>
      <c r="AA20">
        <f t="shared" si="9"/>
        <v>0.34383999999999998</v>
      </c>
      <c r="AB20"/>
      <c r="AC20">
        <f t="shared" ref="AC20:AD20" si="10">AVERAGE(AC15:AC19)</f>
        <v>0.88450000000000006</v>
      </c>
      <c r="AD20">
        <f t="shared" si="10"/>
        <v>0.81159999999999999</v>
      </c>
      <c r="AE20"/>
      <c r="AF20">
        <f t="shared" ref="AF20:AG20" si="11">AVERAGE(AF15:AF19)</f>
        <v>0.37412000000000001</v>
      </c>
      <c r="AG20">
        <f t="shared" si="11"/>
        <v>0.34808</v>
      </c>
    </row>
    <row r="21" spans="1:33" s="4" customFormat="1" hidden="1" x14ac:dyDescent="0.25">
      <c r="A21" s="4" t="s">
        <v>25</v>
      </c>
      <c r="E21" s="4">
        <f>_xlfn.STDEV.P(E15:E19)</f>
        <v>1.5080053050304564E-2</v>
      </c>
      <c r="F21" s="4">
        <f>_xlfn.STDEV.P(F15:F19)</f>
        <v>1.4991330828181956E-2</v>
      </c>
      <c r="K21" s="4">
        <f>_xlfn.STDEV.P(K15:K19)</f>
        <v>9.7241966249143386E-4</v>
      </c>
      <c r="L21" s="4">
        <f>_xlfn.STDEV.P(L15:L19)</f>
        <v>3.0844124237850981E-3</v>
      </c>
      <c r="N21" s="4">
        <f t="shared" ref="N21:O21" si="12">_xlfn.STDEV.P(N15:N19)</f>
        <v>2.1908902300206765E-4</v>
      </c>
      <c r="O21" s="4">
        <f t="shared" si="12"/>
        <v>4.308131845707621E-4</v>
      </c>
      <c r="Q21" s="4">
        <f t="shared" ref="Q21:R21" si="13">_xlfn.STDEV.P(Q15:Q19)</f>
        <v>2.2067170185594439E-3</v>
      </c>
      <c r="R21" s="4">
        <f t="shared" si="13"/>
        <v>2.8527881099023097E-3</v>
      </c>
      <c r="T21" s="4">
        <f t="shared" ref="T21:U21" si="14">_xlfn.STDEV.P(T15:T19)</f>
        <v>6.8527366796047222E-4</v>
      </c>
      <c r="U21" s="4">
        <f t="shared" si="14"/>
        <v>7.1721684308163989E-4</v>
      </c>
      <c r="W21" s="4">
        <f t="shared" ref="W21:X21" si="15">_xlfn.STDEV.P(W15:W19)</f>
        <v>1.2009995836801803E-3</v>
      </c>
      <c r="X21" s="4">
        <f t="shared" si="15"/>
        <v>1.680952111156033E-3</v>
      </c>
      <c r="Z21" s="4">
        <f t="shared" ref="Z21:AA21" si="16">_xlfn.STDEV.P(Z15:Z19)</f>
        <v>3.0066592756744569E-4</v>
      </c>
      <c r="AA21" s="4">
        <f t="shared" si="16"/>
        <v>4.7159304490205334E-4</v>
      </c>
      <c r="AC21" s="4">
        <f t="shared" ref="AC21:AD21" si="17">_xlfn.STDEV.P(AC15:AC19)</f>
        <v>1.5112908389850015E-3</v>
      </c>
      <c r="AD21" s="4">
        <f t="shared" si="17"/>
        <v>1.3754999091239279E-3</v>
      </c>
      <c r="AF21" s="4">
        <f t="shared" ref="AF21:AG21" si="18">_xlfn.STDEV.P(AF15:AF19)</f>
        <v>7.0823724838503402E-4</v>
      </c>
      <c r="AG21" s="4">
        <f t="shared" si="18"/>
        <v>2.3726778120933272E-3</v>
      </c>
    </row>
    <row r="22" spans="1:33" s="4" customFormat="1" hidden="1" x14ac:dyDescent="0.25">
      <c r="A22" s="4" t="s">
        <v>26</v>
      </c>
      <c r="E22" s="1">
        <f>20*LOG10(E20/E21)</f>
        <v>39.866471686137515</v>
      </c>
      <c r="F22" s="1">
        <f>20*LOG10(F20/F21)</f>
        <v>37.335493926491566</v>
      </c>
      <c r="G22" s="1"/>
      <c r="H22" s="1"/>
      <c r="I22" s="1"/>
      <c r="J22" s="1"/>
      <c r="K22" s="1">
        <f>20*LOG10(K20/K21)</f>
        <v>59.218810829023482</v>
      </c>
      <c r="L22" s="1">
        <f>20*LOG10(L20/L21)</f>
        <v>48.407457768771955</v>
      </c>
      <c r="M22" s="1"/>
      <c r="N22" s="1">
        <f t="shared" ref="N22:O22" si="19">20*LOG10(N20/N21)</f>
        <v>53.95999086523814</v>
      </c>
      <c r="O22" s="1">
        <f t="shared" si="19"/>
        <v>47.367906540966118</v>
      </c>
      <c r="P22" s="1"/>
      <c r="Q22" s="1">
        <f t="shared" ref="Q22:R22" si="20">20*LOG10(Q20/Q21)</f>
        <v>52.660500841915123</v>
      </c>
      <c r="R22" s="1">
        <f t="shared" si="20"/>
        <v>49.666405025606856</v>
      </c>
      <c r="S22" s="1"/>
      <c r="T22" s="1">
        <f t="shared" ref="T22:U22" si="21">20*LOG10(T20/T21)</f>
        <v>54.749899896364418</v>
      </c>
      <c r="U22" s="1">
        <f t="shared" si="21"/>
        <v>53.647399607180972</v>
      </c>
      <c r="V22" s="1"/>
      <c r="W22" s="1">
        <f t="shared" ref="W22:X22" si="22">20*LOG10(W20/W21)</f>
        <v>57.377793425906852</v>
      </c>
      <c r="X22" s="1">
        <f t="shared" si="22"/>
        <v>53.708634275465684</v>
      </c>
      <c r="Y22" s="10"/>
      <c r="Z22" s="1">
        <f t="shared" ref="Z22:AA22" si="23">20*LOG10(Z20/Z21)</f>
        <v>61.887382963397982</v>
      </c>
      <c r="AA22" s="1">
        <f t="shared" si="23"/>
        <v>57.255780133847352</v>
      </c>
      <c r="AB22" s="1"/>
      <c r="AC22" s="1">
        <f t="shared" ref="AC22:AD22" si="24">20*LOG10(AC20/AC21)</f>
        <v>55.346995749176749</v>
      </c>
      <c r="AD22" s="1">
        <f t="shared" si="24"/>
        <v>55.417629446568583</v>
      </c>
      <c r="AE22" s="1"/>
      <c r="AF22" s="1">
        <f t="shared" ref="AF22:AG22" si="25">20*LOG10(AF20/AF21)</f>
        <v>54.456643235241096</v>
      </c>
      <c r="AG22" s="1">
        <f t="shared" si="25"/>
        <v>43.328806025499837</v>
      </c>
    </row>
    <row r="23" spans="1:33" s="3" customFormat="1" hidden="1" x14ac:dyDescent="0.25">
      <c r="A23" s="11" t="s">
        <v>24</v>
      </c>
      <c r="E23" s="6">
        <f>(0.000528123)*2*1000</f>
        <v>1.056246</v>
      </c>
      <c r="F23" s="6">
        <f>(0.000527607)*2*1000</f>
        <v>1.0552140000000001</v>
      </c>
      <c r="G23" s="6"/>
      <c r="H23" s="6"/>
      <c r="I23" s="6"/>
      <c r="J23" s="6"/>
      <c r="K23" s="6">
        <v>0.92420000000000002</v>
      </c>
      <c r="L23" s="6">
        <v>0.92330000000000001</v>
      </c>
      <c r="M23" s="6"/>
      <c r="N23" s="6">
        <v>0.13200000000000001</v>
      </c>
      <c r="O23" s="6">
        <v>0.13189999999999999</v>
      </c>
      <c r="P23" s="6"/>
      <c r="Q23" s="6">
        <v>0.99970000000000003</v>
      </c>
      <c r="R23" s="6">
        <v>0.99880000000000002</v>
      </c>
      <c r="S23" s="6"/>
      <c r="T23" s="6">
        <v>0.39929999999999999</v>
      </c>
      <c r="U23" s="6">
        <v>0.39889999999999998</v>
      </c>
      <c r="V23" s="6"/>
      <c r="W23" s="6">
        <v>0.92420000000000002</v>
      </c>
      <c r="X23" s="6">
        <v>0.92330000000000001</v>
      </c>
      <c r="Y23" s="6"/>
      <c r="Z23" s="6">
        <v>0.39929999999999999</v>
      </c>
      <c r="AA23" s="6">
        <v>0.39889999999999998</v>
      </c>
      <c r="AB23" s="6"/>
      <c r="AC23" s="6">
        <v>0.92420000000000002</v>
      </c>
      <c r="AD23" s="6">
        <v>0.92330000000000001</v>
      </c>
      <c r="AE23" s="16"/>
      <c r="AF23" s="6">
        <v>0.39929999999999999</v>
      </c>
      <c r="AG23" s="6">
        <v>0.39889999999999998</v>
      </c>
    </row>
    <row r="24" spans="1:33" s="5" customFormat="1" hidden="1" x14ac:dyDescent="0.25">
      <c r="A24" s="5" t="s">
        <v>58</v>
      </c>
      <c r="K24" s="17">
        <f>K20/$E$20</f>
        <v>0.59850505050505054</v>
      </c>
      <c r="L24" s="17">
        <f>L20/$F$20</f>
        <v>0.73608920315474591</v>
      </c>
      <c r="N24" s="17">
        <f>N20/$E$20</f>
        <v>7.36026936026936E-2</v>
      </c>
      <c r="O24" s="17">
        <f>O20/$F$20</f>
        <v>9.1215664944248029E-2</v>
      </c>
      <c r="Q24" s="17">
        <f>Q20/$E$20</f>
        <v>0.63832996632996641</v>
      </c>
      <c r="R24" s="17">
        <f>R20/$F$20</f>
        <v>0.78700027196083766</v>
      </c>
      <c r="T24" s="17">
        <f>T20/$E$20</f>
        <v>0.25213468013468016</v>
      </c>
      <c r="U24" s="17">
        <f>U20/$F$20</f>
        <v>0.31290000906536131</v>
      </c>
      <c r="W24" s="17">
        <f>W20/$E$20</f>
        <v>0.59800673400673399</v>
      </c>
      <c r="X24" s="17">
        <f>X20/$F$20</f>
        <v>0.73853685069350017</v>
      </c>
      <c r="Z24" s="17">
        <f>Z20/$E$20</f>
        <v>0.25160942760942762</v>
      </c>
      <c r="AA24" s="17">
        <f>AA20/$F$20</f>
        <v>0.31170338137974796</v>
      </c>
      <c r="AC24" s="17">
        <f>AC20/$E$20</f>
        <v>0.59562289562289572</v>
      </c>
      <c r="AD24" s="17">
        <f>AD20/$F$20</f>
        <v>0.7357447194270692</v>
      </c>
      <c r="AF24" s="17">
        <f>AF20/$E$20</f>
        <v>0.25193265993265995</v>
      </c>
      <c r="AG24" s="17">
        <f>AG20/$F$20</f>
        <v>0.31554709455171792</v>
      </c>
    </row>
    <row r="25" spans="1:33" s="5" customFormat="1" hidden="1" x14ac:dyDescent="0.25">
      <c r="A25" s="5" t="s">
        <v>59</v>
      </c>
      <c r="K25" s="17">
        <f>K23/$E$23</f>
        <v>0.87498556207550138</v>
      </c>
      <c r="L25" s="17">
        <f>L23/$F$23</f>
        <v>0.8749883909804077</v>
      </c>
      <c r="N25" s="17">
        <f>N23/$E$23</f>
        <v>0.12497088746371585</v>
      </c>
      <c r="O25" s="17">
        <f>O23/$F$23</f>
        <v>0.12499834156862966</v>
      </c>
      <c r="Q25" s="17">
        <f>Q23/$E$23</f>
        <v>0.94646512270815697</v>
      </c>
      <c r="R25" s="17">
        <f>R23/$F$23</f>
        <v>0.94653785867132156</v>
      </c>
      <c r="T25" s="17">
        <f>T23/$E$23</f>
        <v>0.3780369345777404</v>
      </c>
      <c r="U25" s="17">
        <f>U23/$F$23</f>
        <v>0.37802758492590122</v>
      </c>
      <c r="W25" s="17">
        <f>W23/$E$23</f>
        <v>0.87498556207550138</v>
      </c>
      <c r="X25" s="17">
        <f>X23/$F$23</f>
        <v>0.8749883909804077</v>
      </c>
      <c r="Z25" s="17">
        <f>Z23/$E$23</f>
        <v>0.3780369345777404</v>
      </c>
      <c r="AA25" s="17">
        <f>AA23/$F$23</f>
        <v>0.37802758492590122</v>
      </c>
      <c r="AC25" s="17">
        <f>AC23/$E$23</f>
        <v>0.87498556207550138</v>
      </c>
      <c r="AD25" s="17">
        <f>AD23/$F$23</f>
        <v>0.8749883909804077</v>
      </c>
      <c r="AF25" s="17">
        <f>AF23/$E$23</f>
        <v>0.3780369345777404</v>
      </c>
      <c r="AG25" s="17">
        <f>AG23/$F$23</f>
        <v>0.37802758492590122</v>
      </c>
    </row>
    <row r="26" spans="1:33" hidden="1" x14ac:dyDescent="0.25">
      <c r="A26" s="5" t="s">
        <v>30</v>
      </c>
      <c r="B26" s="5"/>
      <c r="C26" s="5"/>
      <c r="D26" s="5"/>
      <c r="E26" s="5"/>
      <c r="F26" s="5"/>
      <c r="G26" s="5"/>
      <c r="H26" s="5"/>
      <c r="I26" s="5"/>
      <c r="J26" s="5"/>
      <c r="K26" s="5">
        <f>1-((ABS(K24-K25))/K25)</f>
        <v>0.68401705861908413</v>
      </c>
      <c r="L26" s="5">
        <f t="shared" ref="L26" si="26">1-((ABS(L24-L25))/L25)</f>
        <v>0.84125596492768562</v>
      </c>
      <c r="M26" s="5"/>
      <c r="N26" s="5">
        <f t="shared" ref="N26" si="27">1-((ABS(N24-N25))/N25)</f>
        <v>0.58895871747780837</v>
      </c>
      <c r="O26" s="5">
        <f t="shared" ref="O26" si="28">1-((ABS(O24-O25))/O25)</f>
        <v>0.72973500127732949</v>
      </c>
      <c r="P26" s="5"/>
      <c r="Q26" s="5">
        <f t="shared" ref="Q26" si="29">1-((ABS(Q24-Q25))/Q25)</f>
        <v>0.67443580435746897</v>
      </c>
      <c r="R26" s="5">
        <f t="shared" ref="R26" si="30">1-((ABS(R24-R25))/R25)</f>
        <v>0.83145144671293891</v>
      </c>
      <c r="S26" s="5"/>
      <c r="T26" s="5">
        <f t="shared" ref="T26" si="31">1-((ABS(T24-T25))/T25)</f>
        <v>0.66695779452425596</v>
      </c>
      <c r="U26" s="5">
        <f t="shared" ref="U26" si="32">1-((ABS(U24-U25))/U25)</f>
        <v>0.82771739825995549</v>
      </c>
      <c r="V26" s="5"/>
      <c r="W26" s="5">
        <f t="shared" ref="W26" si="33">1-((ABS(W24-W25))/W25)</f>
        <v>0.68344754465232271</v>
      </c>
      <c r="X26" s="5">
        <f t="shared" ref="X26" si="34">1-((ABS(X24-X25))/X25)</f>
        <v>0.84405331351423274</v>
      </c>
      <c r="Y26" s="5"/>
      <c r="Z26" s="5">
        <f t="shared" ref="Z26" si="35">1-((ABS(Z24-Z25))/Z25)</f>
        <v>0.66556837334021401</v>
      </c>
      <c r="AA26" s="5">
        <f t="shared" ref="AA26" si="36">1-((ABS(AA24-AA25))/AA25)</f>
        <v>0.82455194755389671</v>
      </c>
      <c r="AB26" s="5"/>
      <c r="AC26" s="5">
        <f t="shared" ref="AC26" si="37">1-((ABS(AC24-AC25))/AC25)</f>
        <v>0.68072311297349175</v>
      </c>
      <c r="AD26" s="5">
        <f t="shared" ref="AD26" si="38">1-((ABS(AD24-AD25))/AD25)</f>
        <v>0.84086226401550468</v>
      </c>
      <c r="AE26" s="5"/>
      <c r="AF26" s="5">
        <f t="shared" ref="AF26" si="39">1-((ABS(AF24-AF25))/AF25)</f>
        <v>0.66642340176116299</v>
      </c>
      <c r="AG26" s="5">
        <f t="shared" ref="AG26" si="40">1-((ABS(AG24-AG25))/AG25)</f>
        <v>0.83471975891275141</v>
      </c>
    </row>
    <row r="27" spans="1:33" hidden="1" x14ac:dyDescent="0.25">
      <c r="A27" s="12" t="s">
        <v>17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 spans="1:33" hidden="1" x14ac:dyDescent="0.25">
      <c r="B28" cm="1">
        <f t="array" ref="B28:AG32">_xlfn._xlws.FILTER('Dado Bruto'!A:AF, ('Dado Bruto'!A:A=7) + ('Dado Bruto'!A:A=27) + ('Dado Bruto'!A:A=47)+ ('Dado Bruto'!A:A=67)+ ('Dado Bruto'!A:A=87), "Não encontrado")</f>
        <v>7</v>
      </c>
      <c r="C28" t="str">
        <v>-&gt;</v>
      </c>
      <c r="D28" t="str">
        <v>E91</v>
      </c>
      <c r="E28">
        <v>1.4674</v>
      </c>
      <c r="F28">
        <v>1.0914999999999999</v>
      </c>
      <c r="G28" t="str">
        <v>E92</v>
      </c>
      <c r="H28">
        <v>0</v>
      </c>
      <c r="I28">
        <v>0</v>
      </c>
      <c r="J28" t="str">
        <v>E0</v>
      </c>
      <c r="K28">
        <v>0.1908</v>
      </c>
      <c r="L28">
        <v>0.1782</v>
      </c>
      <c r="M28" t="str">
        <v>E1</v>
      </c>
      <c r="N28">
        <v>0.70469999999999999</v>
      </c>
      <c r="O28">
        <v>0.64180000000000004</v>
      </c>
      <c r="P28" t="str">
        <v>E2</v>
      </c>
      <c r="Q28">
        <v>0.1128</v>
      </c>
      <c r="R28">
        <v>0.10440000000000001</v>
      </c>
      <c r="S28" t="str">
        <v>E3</v>
      </c>
      <c r="T28">
        <v>0.83809999999999996</v>
      </c>
      <c r="U28">
        <v>0.76519999999999999</v>
      </c>
      <c r="V28" t="str">
        <v>E4</v>
      </c>
      <c r="W28">
        <v>0.19020000000000001</v>
      </c>
      <c r="X28">
        <v>0.1757</v>
      </c>
      <c r="Y28" t="str">
        <v>E5</v>
      </c>
      <c r="Z28">
        <v>0.7036</v>
      </c>
      <c r="AA28">
        <v>0.63959999999999995</v>
      </c>
      <c r="AB28" t="str">
        <v>E6</v>
      </c>
      <c r="AC28">
        <v>0.18920000000000001</v>
      </c>
      <c r="AD28">
        <v>0.17480000000000001</v>
      </c>
      <c r="AE28" t="str">
        <v>E7</v>
      </c>
      <c r="AF28">
        <v>0.70440000000000003</v>
      </c>
      <c r="AG28">
        <v>0.63749999999999996</v>
      </c>
    </row>
    <row r="29" spans="1:33" hidden="1" x14ac:dyDescent="0.25">
      <c r="B29">
        <v>27</v>
      </c>
      <c r="C29" t="str">
        <v>-&gt;</v>
      </c>
      <c r="D29" t="str">
        <v>E91</v>
      </c>
      <c r="E29">
        <v>1.5179</v>
      </c>
      <c r="F29">
        <v>1.0718000000000001</v>
      </c>
      <c r="G29" t="str">
        <v>E92</v>
      </c>
      <c r="H29">
        <v>0</v>
      </c>
      <c r="I29">
        <v>0</v>
      </c>
      <c r="J29" t="str">
        <v>E0</v>
      </c>
      <c r="K29">
        <v>0.2195</v>
      </c>
      <c r="L29">
        <v>0.20669999999999999</v>
      </c>
      <c r="M29" t="str">
        <v>E1</v>
      </c>
      <c r="N29">
        <v>0.70389999999999997</v>
      </c>
      <c r="O29">
        <v>0.64139999999999997</v>
      </c>
      <c r="P29" t="str">
        <v>E2</v>
      </c>
      <c r="Q29">
        <v>0.1135</v>
      </c>
      <c r="R29">
        <v>0.1042</v>
      </c>
      <c r="S29" t="str">
        <v>E3</v>
      </c>
      <c r="T29">
        <v>0.83779999999999999</v>
      </c>
      <c r="U29">
        <v>0.76390000000000002</v>
      </c>
      <c r="V29" t="str">
        <v>E4</v>
      </c>
      <c r="W29">
        <v>0.19</v>
      </c>
      <c r="X29">
        <v>0.17480000000000001</v>
      </c>
      <c r="Y29" t="str">
        <v>E5</v>
      </c>
      <c r="Z29">
        <v>0.70379999999999998</v>
      </c>
      <c r="AA29">
        <v>0.63700000000000001</v>
      </c>
      <c r="AB29" t="str">
        <v>E6</v>
      </c>
      <c r="AC29">
        <v>0.1908</v>
      </c>
      <c r="AD29">
        <v>0.17249999999999999</v>
      </c>
      <c r="AE29" t="str">
        <v>E7</v>
      </c>
      <c r="AF29">
        <v>0.69569999999999999</v>
      </c>
      <c r="AG29">
        <v>0.6159</v>
      </c>
    </row>
    <row r="30" spans="1:33" hidden="1" x14ac:dyDescent="0.25">
      <c r="B30">
        <v>47</v>
      </c>
      <c r="C30" t="str">
        <v>-&gt;</v>
      </c>
      <c r="D30" t="str">
        <v>E91</v>
      </c>
      <c r="E30">
        <v>1.5106999999999999</v>
      </c>
      <c r="F30">
        <v>1.0764</v>
      </c>
      <c r="G30" t="str">
        <v>E92</v>
      </c>
      <c r="H30">
        <v>0</v>
      </c>
      <c r="I30">
        <v>0</v>
      </c>
      <c r="J30" t="str">
        <v>E0</v>
      </c>
      <c r="K30">
        <v>0.1905</v>
      </c>
      <c r="L30">
        <v>0.17899999999999999</v>
      </c>
      <c r="M30" t="str">
        <v>E1</v>
      </c>
      <c r="N30">
        <v>0.70550000000000002</v>
      </c>
      <c r="O30">
        <v>0.64070000000000005</v>
      </c>
      <c r="P30" t="str">
        <v>E2</v>
      </c>
      <c r="Q30">
        <v>0.1135</v>
      </c>
      <c r="R30">
        <v>0.1047</v>
      </c>
      <c r="S30" t="str">
        <v>E3</v>
      </c>
      <c r="T30">
        <v>0.83520000000000005</v>
      </c>
      <c r="U30">
        <v>0.76459999999999995</v>
      </c>
      <c r="V30" t="str">
        <v>E4</v>
      </c>
      <c r="W30">
        <v>0.19</v>
      </c>
      <c r="X30">
        <v>0.1757</v>
      </c>
      <c r="Y30" t="str">
        <v>E5</v>
      </c>
      <c r="Z30">
        <v>0.70469999999999999</v>
      </c>
      <c r="AA30">
        <v>0.63959999999999995</v>
      </c>
      <c r="AB30" t="str">
        <v>E6</v>
      </c>
      <c r="AC30">
        <v>0.1903</v>
      </c>
      <c r="AD30">
        <v>0.1741</v>
      </c>
      <c r="AE30" t="str">
        <v>E7</v>
      </c>
      <c r="AF30">
        <v>0.70409999999999995</v>
      </c>
      <c r="AG30">
        <v>0.63519999999999999</v>
      </c>
    </row>
    <row r="31" spans="1:33" hidden="1" x14ac:dyDescent="0.25">
      <c r="B31">
        <v>67</v>
      </c>
      <c r="C31" t="str">
        <v>-&gt;</v>
      </c>
      <c r="D31" t="str">
        <v>E91</v>
      </c>
      <c r="E31">
        <v>1.4722</v>
      </c>
      <c r="F31">
        <v>1.1096999999999999</v>
      </c>
      <c r="G31" t="str">
        <v>E92</v>
      </c>
      <c r="H31">
        <v>0</v>
      </c>
      <c r="I31">
        <v>0</v>
      </c>
      <c r="J31" t="str">
        <v>E0</v>
      </c>
      <c r="K31">
        <v>0.18990000000000001</v>
      </c>
      <c r="L31">
        <v>0.1729</v>
      </c>
      <c r="M31" t="str">
        <v>E1</v>
      </c>
      <c r="N31">
        <v>0.70640000000000003</v>
      </c>
      <c r="O31">
        <v>0.63519999999999999</v>
      </c>
      <c r="P31" t="str">
        <v>E2</v>
      </c>
      <c r="Q31">
        <v>0.11169999999999999</v>
      </c>
      <c r="R31">
        <v>0.1032</v>
      </c>
      <c r="S31" t="str">
        <v>E3</v>
      </c>
      <c r="T31">
        <v>0.83709999999999996</v>
      </c>
      <c r="U31">
        <v>0.76119999999999999</v>
      </c>
      <c r="V31" t="str">
        <v>E4</v>
      </c>
      <c r="W31">
        <v>0.1905</v>
      </c>
      <c r="X31">
        <v>0.1757</v>
      </c>
      <c r="Y31" t="str">
        <v>E5</v>
      </c>
      <c r="Z31">
        <v>0.70379999999999998</v>
      </c>
      <c r="AA31">
        <v>0.63880000000000003</v>
      </c>
      <c r="AB31" t="str">
        <v>E6</v>
      </c>
      <c r="AC31">
        <v>0.19</v>
      </c>
      <c r="AD31">
        <v>0.17519999999999999</v>
      </c>
      <c r="AE31" t="str">
        <v>E7</v>
      </c>
      <c r="AF31">
        <v>0.70420000000000005</v>
      </c>
      <c r="AG31">
        <v>0.63460000000000005</v>
      </c>
    </row>
    <row r="32" spans="1:33" hidden="1" x14ac:dyDescent="0.25">
      <c r="B32">
        <v>87</v>
      </c>
      <c r="C32" t="str">
        <v>-&gt;</v>
      </c>
      <c r="D32" t="str">
        <v>E91</v>
      </c>
      <c r="E32">
        <v>1.5085</v>
      </c>
      <c r="F32">
        <v>1.0730999999999999</v>
      </c>
      <c r="G32" t="str">
        <v>E92</v>
      </c>
      <c r="H32">
        <v>0</v>
      </c>
      <c r="I32">
        <v>0</v>
      </c>
      <c r="J32" t="str">
        <v>E0</v>
      </c>
      <c r="K32">
        <v>0.19059999999999999</v>
      </c>
      <c r="L32">
        <v>0.1787</v>
      </c>
      <c r="M32" t="str">
        <v>E1</v>
      </c>
      <c r="N32">
        <v>0.70340000000000003</v>
      </c>
      <c r="O32">
        <v>0.64129999999999998</v>
      </c>
      <c r="P32" t="str">
        <v>E2</v>
      </c>
      <c r="Q32">
        <v>0.1134</v>
      </c>
      <c r="R32">
        <v>0.1046</v>
      </c>
      <c r="S32" t="str">
        <v>E3</v>
      </c>
      <c r="T32">
        <v>0.83750000000000002</v>
      </c>
      <c r="U32">
        <v>0.76480000000000004</v>
      </c>
      <c r="V32" t="str">
        <v>E4</v>
      </c>
      <c r="W32">
        <v>0.19070000000000001</v>
      </c>
      <c r="X32">
        <v>0.17630000000000001</v>
      </c>
      <c r="Y32" t="str">
        <v>E5</v>
      </c>
      <c r="Z32">
        <v>0.7046</v>
      </c>
      <c r="AA32">
        <v>0.64070000000000005</v>
      </c>
      <c r="AB32" t="str">
        <v>E6</v>
      </c>
      <c r="AC32">
        <v>0.18970000000000001</v>
      </c>
      <c r="AD32">
        <v>0.17510000000000001</v>
      </c>
      <c r="AE32" t="str">
        <v>E7</v>
      </c>
      <c r="AF32">
        <v>0.70569999999999999</v>
      </c>
      <c r="AG32">
        <v>0.6371</v>
      </c>
    </row>
    <row r="33" spans="1:33" s="4" customFormat="1" hidden="1" x14ac:dyDescent="0.25">
      <c r="A33" t="s">
        <v>23</v>
      </c>
      <c r="B33"/>
      <c r="C33"/>
      <c r="D33"/>
      <c r="E33">
        <f>AVERAGE(E28:E32)</f>
        <v>1.4953400000000001</v>
      </c>
      <c r="F33">
        <f>AVERAGE(F28:F32)</f>
        <v>1.0845</v>
      </c>
      <c r="G33"/>
      <c r="H33"/>
      <c r="I33"/>
      <c r="J33"/>
      <c r="K33">
        <f t="shared" ref="K33:L33" si="41">AVERAGE(K28:K32)</f>
        <v>0.19625999999999999</v>
      </c>
      <c r="L33">
        <f t="shared" si="41"/>
        <v>0.18310000000000001</v>
      </c>
      <c r="M33"/>
      <c r="N33">
        <f t="shared" ref="N33:O33" si="42">AVERAGE(N28:N32)</f>
        <v>0.70477999999999985</v>
      </c>
      <c r="O33">
        <f t="shared" si="42"/>
        <v>0.64007999999999998</v>
      </c>
      <c r="P33"/>
      <c r="Q33">
        <f t="shared" ref="Q33:R33" si="43">AVERAGE(Q28:Q32)</f>
        <v>0.11298</v>
      </c>
      <c r="R33">
        <f t="shared" si="43"/>
        <v>0.10422000000000001</v>
      </c>
      <c r="S33"/>
      <c r="T33">
        <f t="shared" ref="T33:U33" si="44">AVERAGE(T28:T32)</f>
        <v>0.83714</v>
      </c>
      <c r="U33">
        <f t="shared" si="44"/>
        <v>0.76394000000000006</v>
      </c>
      <c r="V33"/>
      <c r="W33">
        <f t="shared" ref="W33:X33" si="45">AVERAGE(W28:W32)</f>
        <v>0.19028</v>
      </c>
      <c r="X33">
        <f t="shared" si="45"/>
        <v>0.17563999999999999</v>
      </c>
      <c r="Y33"/>
      <c r="Z33">
        <f t="shared" ref="Z33:AA33" si="46">AVERAGE(Z28:Z32)</f>
        <v>0.70410000000000006</v>
      </c>
      <c r="AA33">
        <f t="shared" si="46"/>
        <v>0.63913999999999993</v>
      </c>
      <c r="AB33"/>
      <c r="AC33">
        <f t="shared" ref="AC33:AD33" si="47">AVERAGE(AC28:AC32)</f>
        <v>0.19</v>
      </c>
      <c r="AD33">
        <f t="shared" si="47"/>
        <v>0.17433999999999999</v>
      </c>
      <c r="AE33"/>
      <c r="AF33">
        <f t="shared" ref="AF33:AG33" si="48">AVERAGE(AF28:AF32)</f>
        <v>0.70282</v>
      </c>
      <c r="AG33">
        <f t="shared" si="48"/>
        <v>0.63206000000000007</v>
      </c>
    </row>
    <row r="34" spans="1:33" s="4" customFormat="1" hidden="1" x14ac:dyDescent="0.25">
      <c r="A34" s="4" t="s">
        <v>25</v>
      </c>
      <c r="E34" s="4">
        <f>_xlfn.STDEV.P(E28:E32)</f>
        <v>2.1138457843466244E-2</v>
      </c>
      <c r="F34" s="4">
        <f>_xlfn.STDEV.P(F28:F32)</f>
        <v>1.4428444129565688E-2</v>
      </c>
      <c r="K34" s="4">
        <f>_xlfn.STDEV.P(K28:K32)</f>
        <v>1.1623871988283423E-2</v>
      </c>
      <c r="L34" s="4">
        <f>_xlfn.STDEV.P(L28:L32)</f>
        <v>1.2009829307696259E-2</v>
      </c>
      <c r="N34" s="4">
        <f t="shared" ref="N34:O34" si="49">_xlfn.STDEV.P(N28:N32)</f>
        <v>1.0796295661012712E-3</v>
      </c>
      <c r="O34" s="4">
        <f t="shared" si="49"/>
        <v>2.4652788888886463E-3</v>
      </c>
      <c r="Q34" s="4">
        <f t="shared" ref="Q34:R34" si="50">_xlfn.STDEV.P(Q28:Q32)</f>
        <v>6.9108610172684346E-4</v>
      </c>
      <c r="R34" s="4">
        <f t="shared" si="50"/>
        <v>5.3814496188294889E-4</v>
      </c>
      <c r="T34" s="4">
        <f t="shared" ref="T34:U34" si="51">_xlfn.STDEV.P(T28:T32)</f>
        <v>1.0248902380254887E-3</v>
      </c>
      <c r="U34" s="4">
        <f t="shared" si="51"/>
        <v>1.4333178293735158E-3</v>
      </c>
      <c r="W34" s="4">
        <f t="shared" ref="W34:X34" si="52">_xlfn.STDEV.P(W28:W32)</f>
        <v>2.7856776554368396E-4</v>
      </c>
      <c r="X34" s="4">
        <f t="shared" si="52"/>
        <v>4.799999999999992E-4</v>
      </c>
      <c r="Z34" s="4">
        <f t="shared" ref="Z34:AA34" si="53">_xlfn.STDEV.P(Z28:Z32)</f>
        <v>4.560701700396585E-4</v>
      </c>
      <c r="AA34" s="4">
        <f t="shared" si="53"/>
        <v>1.2289833196589756E-3</v>
      </c>
      <c r="AC34" s="4">
        <f t="shared" ref="AC34:AD34" si="54">_xlfn.STDEV.P(AC28:AC32)</f>
        <v>5.4037024344424781E-4</v>
      </c>
      <c r="AD34" s="4">
        <f t="shared" si="54"/>
        <v>9.9719606898543835E-4</v>
      </c>
      <c r="AF34" s="4">
        <f t="shared" ref="AF34:AG34" si="55">_xlfn.STDEV.P(AF28:AF32)</f>
        <v>3.6063277721249979E-3</v>
      </c>
      <c r="AG34" s="4">
        <f t="shared" si="55"/>
        <v>8.1541645801393985E-3</v>
      </c>
    </row>
    <row r="35" spans="1:33" s="4" customFormat="1" hidden="1" x14ac:dyDescent="0.25">
      <c r="A35" s="4" t="s">
        <v>26</v>
      </c>
      <c r="E35" s="1">
        <f>20*LOG10(E33/E34)</f>
        <v>36.993333011566286</v>
      </c>
      <c r="F35" s="1">
        <f>20*LOG10(F33/F34)</f>
        <v>37.520201085002348</v>
      </c>
      <c r="G35" s="1"/>
      <c r="H35" s="1"/>
      <c r="I35" s="1"/>
      <c r="J35" s="1"/>
      <c r="K35" s="1">
        <f>20*LOG10(K33/K34)</f>
        <v>24.549619520065313</v>
      </c>
      <c r="L35" s="1">
        <f>20*LOG10(L33/L34)</f>
        <v>23.663030187188824</v>
      </c>
      <c r="M35" s="1"/>
      <c r="N35" s="1">
        <f t="shared" ref="N35:O35" si="56">20*LOG10(N33/N34)</f>
        <v>56.295576038823654</v>
      </c>
      <c r="O35" s="1">
        <f t="shared" si="56"/>
        <v>48.287364014067329</v>
      </c>
      <c r="P35" s="1"/>
      <c r="Q35" s="1">
        <f t="shared" ref="Q35:R35" si="57">20*LOG10(Q33/Q34)</f>
        <v>44.269388226792998</v>
      </c>
      <c r="R35" s="1">
        <f t="shared" si="57"/>
        <v>45.741035801363743</v>
      </c>
      <c r="S35" s="1"/>
      <c r="T35" s="1">
        <f t="shared" ref="T35:U35" si="58">20*LOG10(T33/T34)</f>
        <v>58.242414744537562</v>
      </c>
      <c r="U35" s="1">
        <f t="shared" si="58"/>
        <v>54.534334942909581</v>
      </c>
      <c r="V35" s="1"/>
      <c r="W35" s="1">
        <f t="shared" ref="W35:X35" si="59">20*LOG10(W33/W34)</f>
        <v>56.689245642375347</v>
      </c>
      <c r="X35" s="1">
        <f t="shared" si="59"/>
        <v>51.267643821135273</v>
      </c>
      <c r="Y35" s="10"/>
      <c r="Z35" s="1">
        <f t="shared" ref="Z35:AA35" si="60">20*LOG10(Z33/Z34)</f>
        <v>63.772053536737417</v>
      </c>
      <c r="AA35" s="1">
        <f t="shared" si="60"/>
        <v>54.321000197005162</v>
      </c>
      <c r="AB35" s="1"/>
      <c r="AC35" s="1">
        <f t="shared" ref="AC35:AD35" si="61">20*LOG10(AC33/AC34)</f>
        <v>50.921243504572466</v>
      </c>
      <c r="AD35" s="1">
        <f t="shared" si="61"/>
        <v>44.852329676656993</v>
      </c>
      <c r="AE35" s="1"/>
      <c r="AF35" s="1">
        <f t="shared" ref="AF35:AG35" si="62">20*LOG10(AF33/AF34)</f>
        <v>45.795578305265309</v>
      </c>
      <c r="AG35" s="1">
        <f t="shared" si="62"/>
        <v>37.787576679942546</v>
      </c>
    </row>
    <row r="36" spans="1:33" s="3" customFormat="1" hidden="1" x14ac:dyDescent="0.25">
      <c r="A36" s="11" t="s">
        <v>24</v>
      </c>
      <c r="E36" s="6">
        <f>(0.000528246)*2*1000</f>
        <v>1.056492</v>
      </c>
      <c r="F36" s="6">
        <f>(0.000527663)*2*1000</f>
        <v>1.055326</v>
      </c>
      <c r="G36" s="6"/>
      <c r="H36" s="6"/>
      <c r="I36" s="6"/>
      <c r="J36" s="6"/>
      <c r="K36" s="6">
        <v>0.20760000000000001</v>
      </c>
      <c r="L36" s="6">
        <v>0.2074</v>
      </c>
      <c r="M36" s="6"/>
      <c r="N36" s="6">
        <v>0.73270000000000002</v>
      </c>
      <c r="O36" s="6">
        <v>0.7319</v>
      </c>
      <c r="P36" s="6"/>
      <c r="Q36" s="6">
        <v>0.13200000000000001</v>
      </c>
      <c r="R36" s="6">
        <v>0.13189999999999999</v>
      </c>
      <c r="S36" s="6"/>
      <c r="T36" s="6">
        <v>0.84730000000000005</v>
      </c>
      <c r="U36" s="6">
        <v>0.84640000000000004</v>
      </c>
      <c r="V36" s="6"/>
      <c r="W36" s="6">
        <v>0.20760000000000001</v>
      </c>
      <c r="X36" s="6">
        <v>0.2074</v>
      </c>
      <c r="Y36" s="6"/>
      <c r="Z36" s="6">
        <v>0.73270000000000002</v>
      </c>
      <c r="AA36" s="6">
        <v>0.7319</v>
      </c>
      <c r="AB36" s="6"/>
      <c r="AC36" s="6">
        <v>0.20760000000000001</v>
      </c>
      <c r="AD36" s="6">
        <v>0.2074</v>
      </c>
      <c r="AE36" s="16"/>
      <c r="AF36" s="6">
        <v>0.73270000000000002</v>
      </c>
      <c r="AG36" s="6">
        <v>0.7319</v>
      </c>
    </row>
    <row r="37" spans="1:33" s="5" customFormat="1" hidden="1" x14ac:dyDescent="0.25">
      <c r="A37" s="5" t="s">
        <v>58</v>
      </c>
      <c r="K37" s="17">
        <f>K33/$E$33</f>
        <v>0.1312477429882167</v>
      </c>
      <c r="L37" s="17">
        <f>L33/$F$33</f>
        <v>0.16883356385431075</v>
      </c>
      <c r="N37" s="17">
        <f>N33/$E$33</f>
        <v>0.47131755988604584</v>
      </c>
      <c r="O37" s="17">
        <f>O33/$F$33</f>
        <v>0.59020746887966802</v>
      </c>
      <c r="Q37" s="17">
        <f>Q33/$E$33</f>
        <v>7.5554723340511179E-2</v>
      </c>
      <c r="R37" s="17">
        <f>R33/$F$33</f>
        <v>9.6099585062240672E-2</v>
      </c>
      <c r="T37" s="17">
        <f>T33/$E$33</f>
        <v>0.55983254644428693</v>
      </c>
      <c r="U37" s="17">
        <f>U33/$F$33</f>
        <v>0.7044167819271554</v>
      </c>
      <c r="W37" s="17">
        <f>W33/$E$33</f>
        <v>0.12724865248037234</v>
      </c>
      <c r="X37" s="17">
        <f>X33/$F$33</f>
        <v>0.16195481788842783</v>
      </c>
      <c r="Z37" s="17">
        <f>Z33/$E$33</f>
        <v>0.47086281380823092</v>
      </c>
      <c r="AA37" s="17">
        <f>AA33/$F$33</f>
        <v>0.5893407100046103</v>
      </c>
      <c r="AC37" s="17">
        <f>AC33/$E$33</f>
        <v>0.12706140409538966</v>
      </c>
      <c r="AD37" s="17">
        <f>AD33/$F$33</f>
        <v>0.16075610880590133</v>
      </c>
      <c r="AF37" s="17">
        <f>AF33/$E$33</f>
        <v>0.47000682119116721</v>
      </c>
      <c r="AG37" s="17">
        <f>AG33/$F$33</f>
        <v>0.58281235592438918</v>
      </c>
    </row>
    <row r="38" spans="1:33" s="5" customFormat="1" hidden="1" x14ac:dyDescent="0.25">
      <c r="A38" s="5" t="s">
        <v>59</v>
      </c>
      <c r="K38" s="17">
        <f>K36/$E$36</f>
        <v>0.19649935825354098</v>
      </c>
      <c r="L38" s="17">
        <f>L36/$F$36</f>
        <v>0.19652694996617159</v>
      </c>
      <c r="N38" s="17">
        <f>N36/$E$36</f>
        <v>0.69352157896131728</v>
      </c>
      <c r="O38" s="17">
        <f>O36/$F$36</f>
        <v>0.69352977184301345</v>
      </c>
      <c r="Q38" s="17">
        <f>Q36/$E$36</f>
        <v>0.12494178848491044</v>
      </c>
      <c r="R38" s="17">
        <f>R36/$F$36</f>
        <v>0.12498507570172629</v>
      </c>
      <c r="T38" s="17">
        <f>T36/$E$36</f>
        <v>0.80199376805503497</v>
      </c>
      <c r="U38" s="17">
        <f>U36/$F$36</f>
        <v>0.80202705135664243</v>
      </c>
      <c r="W38" s="17">
        <f>W36/$E$36</f>
        <v>0.19649935825354098</v>
      </c>
      <c r="X38" s="17">
        <f>X36/$F$36</f>
        <v>0.19652694996617159</v>
      </c>
      <c r="Z38" s="17">
        <f>Z36/$E$36</f>
        <v>0.69352157896131728</v>
      </c>
      <c r="AA38" s="17">
        <f>AA36/$F$36</f>
        <v>0.69352977184301345</v>
      </c>
      <c r="AC38" s="17">
        <f>AC36/$E$36</f>
        <v>0.19649935825354098</v>
      </c>
      <c r="AD38" s="17">
        <f>AD36/$F$36</f>
        <v>0.19652694996617159</v>
      </c>
      <c r="AF38" s="17">
        <f>AF36/$E$36</f>
        <v>0.69352157896131728</v>
      </c>
      <c r="AG38" s="17">
        <f>AG36/$F$36</f>
        <v>0.69352977184301345</v>
      </c>
    </row>
    <row r="39" spans="1:33" hidden="1" x14ac:dyDescent="0.25">
      <c r="A39" s="5" t="s">
        <v>30</v>
      </c>
      <c r="B39" s="5"/>
      <c r="C39" s="5"/>
      <c r="D39" s="5"/>
      <c r="E39" s="5"/>
      <c r="F39" s="5">
        <f>1-((ABS(F36-F33))/F33)</f>
        <v>0.97309912402028587</v>
      </c>
      <c r="G39" s="5"/>
      <c r="H39" s="5"/>
      <c r="I39" s="5"/>
      <c r="J39" s="5"/>
      <c r="K39" s="5">
        <f>1-((ABS(K37-K38))/K38)</f>
        <v>0.66792962661419564</v>
      </c>
      <c r="L39" s="5">
        <f t="shared" ref="L39" si="63">1-((ABS(L37-L38))/L38)</f>
        <v>0.85908606368425433</v>
      </c>
      <c r="M39" s="5"/>
      <c r="N39" s="5">
        <f>1-((ABS(N37-N38))/N38)</f>
        <v>0.67960042511140761</v>
      </c>
      <c r="O39" s="5">
        <f t="shared" ref="O39" si="64">1-((ABS(O37-O38))/O38)</f>
        <v>0.85101965747083552</v>
      </c>
      <c r="P39" s="5"/>
      <c r="Q39" s="5">
        <f>1-((ABS(Q37-Q38))/Q38)</f>
        <v>0.60471939978381317</v>
      </c>
      <c r="R39" s="5">
        <f t="shared" ref="R39" si="65">1-((ABS(R37-R38))/R38)</f>
        <v>0.76888848146621835</v>
      </c>
      <c r="S39" s="5"/>
      <c r="T39" s="5">
        <f>1-((ABS(T37-T38))/T38)</f>
        <v>0.69805099334122223</v>
      </c>
      <c r="U39" s="5">
        <f t="shared" ref="U39" si="66">1-((ABS(U37-U38))/U38)</f>
        <v>0.87829553970233598</v>
      </c>
      <c r="V39" s="5"/>
      <c r="W39" s="5">
        <f>1-((ABS(W37-W38))/W38)</f>
        <v>0.64757795451008437</v>
      </c>
      <c r="X39" s="5">
        <f t="shared" ref="X39" si="67">1-((ABS(X37-X38))/X38)</f>
        <v>0.8240845233506412</v>
      </c>
      <c r="Y39" s="5"/>
      <c r="Z39" s="5">
        <f>1-((ABS(Z37-Z38))/Z38)</f>
        <v>0.67894471937475842</v>
      </c>
      <c r="AA39" s="5">
        <f t="shared" ref="AA39" si="68">1-((ABS(AA37-AA38))/AA38)</f>
        <v>0.8497698785712875</v>
      </c>
      <c r="AB39" s="5"/>
      <c r="AC39" s="5">
        <f>1-((ABS(AC37-AC38))/AC38)</f>
        <v>0.64662503340821964</v>
      </c>
      <c r="AD39" s="5">
        <f t="shared" ref="AD39" si="69">1-((ABS(AD37-AD38))/AD38)</f>
        <v>0.81798505921743792</v>
      </c>
      <c r="AE39" s="5"/>
      <c r="AF39" s="5">
        <f>1-((ABS(AF37-AF38))/AF38)</f>
        <v>0.67771044975283012</v>
      </c>
      <c r="AG39" s="5">
        <f t="shared" ref="AG39" si="70">1-((ABS(AG37-AG38))/AG38)</f>
        <v>0.84035665026405515</v>
      </c>
    </row>
    <row r="40" spans="1:33" hidden="1" x14ac:dyDescent="0.25"/>
    <row r="41" spans="1:33" hidden="1" x14ac:dyDescent="0.25">
      <c r="A41" s="12" t="s">
        <v>18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 spans="1:33" hidden="1" x14ac:dyDescent="0.25">
      <c r="B42" cm="1">
        <f t="array" ref="B42:AG46">_xlfn._xlws.FILTER('Dado Bruto'!A:AF, ('Dado Bruto'!A:A=9) + ('Dado Bruto'!A:A=29) + ('Dado Bruto'!A:A=49)+ ('Dado Bruto'!A:A=69)+ ('Dado Bruto'!A:A=89), "Não encontrado")</f>
        <v>9</v>
      </c>
      <c r="C42" t="str">
        <v>-&gt;</v>
      </c>
      <c r="D42" t="str">
        <v>E91</v>
      </c>
      <c r="E42">
        <v>1.5069999999999999</v>
      </c>
      <c r="F42">
        <v>1.0882000000000001</v>
      </c>
      <c r="G42" t="str">
        <v>E92</v>
      </c>
      <c r="H42">
        <v>0</v>
      </c>
      <c r="I42">
        <v>0</v>
      </c>
      <c r="J42" t="str">
        <v>E0</v>
      </c>
      <c r="K42">
        <v>0.75560000000000005</v>
      </c>
      <c r="L42">
        <v>0.70140000000000002</v>
      </c>
      <c r="M42" t="str">
        <v>E1</v>
      </c>
      <c r="N42">
        <v>0.2419</v>
      </c>
      <c r="O42">
        <v>0.22450000000000001</v>
      </c>
      <c r="P42" t="str">
        <v>E2</v>
      </c>
      <c r="Q42">
        <v>0.75839999999999996</v>
      </c>
      <c r="R42">
        <v>0.69930000000000003</v>
      </c>
      <c r="S42" t="str">
        <v>E3</v>
      </c>
      <c r="T42">
        <v>0.11020000000000001</v>
      </c>
      <c r="U42">
        <v>0.1028</v>
      </c>
      <c r="V42" t="str">
        <v>E4</v>
      </c>
      <c r="W42">
        <v>0.89429999999999998</v>
      </c>
      <c r="X42">
        <v>0.83</v>
      </c>
      <c r="Y42" t="str">
        <v>E5</v>
      </c>
      <c r="Z42">
        <v>0.24349999999999999</v>
      </c>
      <c r="AA42">
        <v>0.22800000000000001</v>
      </c>
      <c r="AB42" t="str">
        <v>E6</v>
      </c>
      <c r="AC42">
        <v>0.75819999999999999</v>
      </c>
      <c r="AD42">
        <v>0.69720000000000004</v>
      </c>
      <c r="AE42" t="str">
        <v>E7</v>
      </c>
      <c r="AF42">
        <v>0.24410000000000001</v>
      </c>
      <c r="AG42">
        <v>0.22589999999999999</v>
      </c>
    </row>
    <row r="43" spans="1:33" hidden="1" x14ac:dyDescent="0.25">
      <c r="B43">
        <v>29</v>
      </c>
      <c r="C43" t="str">
        <v>-&gt;</v>
      </c>
      <c r="D43" t="str">
        <v>E91</v>
      </c>
      <c r="E43">
        <v>1.4634</v>
      </c>
      <c r="F43">
        <v>1.0962000000000001</v>
      </c>
      <c r="G43" t="str">
        <v>E92</v>
      </c>
      <c r="H43">
        <v>0</v>
      </c>
      <c r="I43">
        <v>0</v>
      </c>
      <c r="J43" t="str">
        <v>E0</v>
      </c>
      <c r="K43">
        <v>0.75549999999999995</v>
      </c>
      <c r="L43">
        <v>0.70179999999999998</v>
      </c>
      <c r="M43" t="str">
        <v>E1</v>
      </c>
      <c r="N43">
        <v>0.24129999999999999</v>
      </c>
      <c r="O43">
        <v>0.2266</v>
      </c>
      <c r="P43" t="str">
        <v>E2</v>
      </c>
      <c r="Q43">
        <v>0.75629999999999997</v>
      </c>
      <c r="R43">
        <v>0.6996</v>
      </c>
      <c r="S43" t="str">
        <v>E3</v>
      </c>
      <c r="T43">
        <v>0.10970000000000001</v>
      </c>
      <c r="U43">
        <v>0.1027</v>
      </c>
      <c r="V43" t="str">
        <v>E4</v>
      </c>
      <c r="W43">
        <v>0.89970000000000006</v>
      </c>
      <c r="X43">
        <v>0.83430000000000004</v>
      </c>
      <c r="Y43" t="str">
        <v>E5</v>
      </c>
      <c r="Z43">
        <v>0.24329999999999999</v>
      </c>
      <c r="AA43">
        <v>0.2276</v>
      </c>
      <c r="AB43" t="str">
        <v>E6</v>
      </c>
      <c r="AC43">
        <v>0.75629999999999997</v>
      </c>
      <c r="AD43">
        <v>0.70120000000000005</v>
      </c>
      <c r="AE43" t="str">
        <v>E7</v>
      </c>
      <c r="AF43">
        <v>0.24340000000000001</v>
      </c>
      <c r="AG43">
        <v>0.23100000000000001</v>
      </c>
    </row>
    <row r="44" spans="1:33" hidden="1" x14ac:dyDescent="0.25">
      <c r="B44">
        <v>49</v>
      </c>
      <c r="C44" t="str">
        <v>-&gt;</v>
      </c>
      <c r="D44" t="str">
        <v>E91</v>
      </c>
      <c r="E44">
        <v>1.4673</v>
      </c>
      <c r="F44">
        <v>1.0921000000000001</v>
      </c>
      <c r="G44" t="str">
        <v>E92</v>
      </c>
      <c r="H44">
        <v>0</v>
      </c>
      <c r="I44">
        <v>0</v>
      </c>
      <c r="J44" t="str">
        <v>E0</v>
      </c>
      <c r="K44">
        <v>0.75660000000000005</v>
      </c>
      <c r="L44">
        <v>0.69779999999999998</v>
      </c>
      <c r="M44" t="str">
        <v>E1</v>
      </c>
      <c r="N44">
        <v>0.24460000000000001</v>
      </c>
      <c r="O44">
        <v>0.22370000000000001</v>
      </c>
      <c r="P44" t="str">
        <v>E2</v>
      </c>
      <c r="Q44">
        <v>0.75639999999999996</v>
      </c>
      <c r="R44">
        <v>0.69979999999999998</v>
      </c>
      <c r="S44" t="str">
        <v>E3</v>
      </c>
      <c r="T44">
        <v>0.1089</v>
      </c>
      <c r="U44">
        <v>0.1026</v>
      </c>
      <c r="V44" t="str">
        <v>E4</v>
      </c>
      <c r="W44">
        <v>0.89739999999999998</v>
      </c>
      <c r="X44">
        <v>0.83</v>
      </c>
      <c r="Y44" t="str">
        <v>E5</v>
      </c>
      <c r="Z44">
        <v>0.24299999999999999</v>
      </c>
      <c r="AA44">
        <v>0.2276</v>
      </c>
      <c r="AB44" t="str">
        <v>E6</v>
      </c>
      <c r="AC44">
        <v>0.75670000000000004</v>
      </c>
      <c r="AD44">
        <v>0.69750000000000001</v>
      </c>
      <c r="AE44" t="str">
        <v>E7</v>
      </c>
      <c r="AF44">
        <v>0.24490000000000001</v>
      </c>
      <c r="AG44">
        <v>0.23150000000000001</v>
      </c>
    </row>
    <row r="45" spans="1:33" hidden="1" x14ac:dyDescent="0.25">
      <c r="B45">
        <v>69</v>
      </c>
      <c r="C45" t="str">
        <v>-&gt;</v>
      </c>
      <c r="D45" t="str">
        <v>E91</v>
      </c>
      <c r="E45">
        <v>1.5119</v>
      </c>
      <c r="F45">
        <v>1.077</v>
      </c>
      <c r="G45" t="str">
        <v>E92</v>
      </c>
      <c r="H45">
        <v>0</v>
      </c>
      <c r="I45">
        <v>0</v>
      </c>
      <c r="J45" t="str">
        <v>E0</v>
      </c>
      <c r="K45">
        <v>0.75849999999999995</v>
      </c>
      <c r="L45">
        <v>0.70289999999999997</v>
      </c>
      <c r="M45" t="str">
        <v>E1</v>
      </c>
      <c r="N45">
        <v>0.24299999999999999</v>
      </c>
      <c r="O45">
        <v>0.22720000000000001</v>
      </c>
      <c r="P45" t="str">
        <v>E2</v>
      </c>
      <c r="Q45">
        <v>0.75690000000000002</v>
      </c>
      <c r="R45">
        <v>0.70130000000000003</v>
      </c>
      <c r="S45" t="str">
        <v>E3</v>
      </c>
      <c r="T45">
        <v>0.1101</v>
      </c>
      <c r="U45">
        <v>0.1033</v>
      </c>
      <c r="V45" t="str">
        <v>E4</v>
      </c>
      <c r="W45">
        <v>0.89390000000000003</v>
      </c>
      <c r="X45">
        <v>0.82940000000000003</v>
      </c>
      <c r="Y45" t="str">
        <v>E5</v>
      </c>
      <c r="Z45">
        <v>0.24360000000000001</v>
      </c>
      <c r="AA45">
        <v>0.22720000000000001</v>
      </c>
      <c r="AB45" t="str">
        <v>E6</v>
      </c>
      <c r="AC45">
        <v>0.75670000000000004</v>
      </c>
      <c r="AD45">
        <v>0.70069999999999999</v>
      </c>
      <c r="AE45" t="str">
        <v>E7</v>
      </c>
      <c r="AF45">
        <v>0.24279999999999999</v>
      </c>
      <c r="AG45">
        <v>0.23200000000000001</v>
      </c>
    </row>
    <row r="46" spans="1:33" hidden="1" x14ac:dyDescent="0.25">
      <c r="B46">
        <v>89</v>
      </c>
      <c r="C46" t="str">
        <v>-&gt;</v>
      </c>
      <c r="D46" t="str">
        <v>E91</v>
      </c>
      <c r="E46">
        <v>1.5132000000000001</v>
      </c>
      <c r="F46">
        <v>1.0736000000000001</v>
      </c>
      <c r="G46" t="str">
        <v>E92</v>
      </c>
      <c r="H46">
        <v>0</v>
      </c>
      <c r="I46">
        <v>0</v>
      </c>
      <c r="J46" t="str">
        <v>E0</v>
      </c>
      <c r="K46">
        <v>0.7591</v>
      </c>
      <c r="L46">
        <v>0.70340000000000003</v>
      </c>
      <c r="M46" t="str">
        <v>E1</v>
      </c>
      <c r="N46">
        <v>0.2437</v>
      </c>
      <c r="O46">
        <v>0.22750000000000001</v>
      </c>
      <c r="P46" t="str">
        <v>E2</v>
      </c>
      <c r="Q46">
        <v>0.75649999999999995</v>
      </c>
      <c r="R46">
        <v>0.70130000000000003</v>
      </c>
      <c r="S46" t="str">
        <v>E3</v>
      </c>
      <c r="T46">
        <v>0.11</v>
      </c>
      <c r="U46">
        <v>0.1033</v>
      </c>
      <c r="V46" t="str">
        <v>E4</v>
      </c>
      <c r="W46">
        <v>0.89790000000000003</v>
      </c>
      <c r="X46">
        <v>0.83460000000000001</v>
      </c>
      <c r="Y46" t="str">
        <v>E5</v>
      </c>
      <c r="Z46">
        <v>0.24560000000000001</v>
      </c>
      <c r="AA46">
        <v>0.22969999999999999</v>
      </c>
      <c r="AB46" t="str">
        <v>E6</v>
      </c>
      <c r="AC46">
        <v>0.75680000000000003</v>
      </c>
      <c r="AD46">
        <v>0.69679999999999997</v>
      </c>
      <c r="AE46" t="str">
        <v>E7</v>
      </c>
      <c r="AF46">
        <v>0.2409</v>
      </c>
      <c r="AG46">
        <v>0.21970000000000001</v>
      </c>
    </row>
    <row r="47" spans="1:33" s="4" customFormat="1" hidden="1" x14ac:dyDescent="0.25">
      <c r="A47" t="s">
        <v>23</v>
      </c>
      <c r="B47"/>
      <c r="C47"/>
      <c r="D47"/>
      <c r="E47">
        <f>AVERAGE(E42:E46)</f>
        <v>1.4925599999999999</v>
      </c>
      <c r="F47">
        <f>AVERAGE(F42:F46)</f>
        <v>1.0854200000000001</v>
      </c>
      <c r="G47"/>
      <c r="H47"/>
      <c r="I47"/>
      <c r="J47"/>
      <c r="K47">
        <f t="shared" ref="K47:L47" si="71">AVERAGE(K42:K46)</f>
        <v>0.75706000000000007</v>
      </c>
      <c r="L47">
        <f t="shared" si="71"/>
        <v>0.70145999999999997</v>
      </c>
      <c r="M47"/>
      <c r="N47">
        <f t="shared" ref="N47:O47" si="72">AVERAGE(N42:N46)</f>
        <v>0.24289999999999998</v>
      </c>
      <c r="O47">
        <f t="shared" si="72"/>
        <v>0.22590000000000005</v>
      </c>
      <c r="P47"/>
      <c r="Q47">
        <f t="shared" ref="Q47:R47" si="73">AVERAGE(Q42:Q46)</f>
        <v>0.75689999999999991</v>
      </c>
      <c r="R47">
        <f t="shared" si="73"/>
        <v>0.70025999999999988</v>
      </c>
      <c r="S47"/>
      <c r="T47">
        <f t="shared" ref="T47:U47" si="74">AVERAGE(T42:T46)</f>
        <v>0.10977999999999999</v>
      </c>
      <c r="U47">
        <f t="shared" si="74"/>
        <v>0.10294</v>
      </c>
      <c r="V47"/>
      <c r="W47">
        <f t="shared" ref="W47:X47" si="75">AVERAGE(W42:W46)</f>
        <v>0.89663999999999999</v>
      </c>
      <c r="X47">
        <f t="shared" si="75"/>
        <v>0.83166000000000007</v>
      </c>
      <c r="Y47"/>
      <c r="Z47">
        <f t="shared" ref="Z47:AA47" si="76">AVERAGE(Z42:Z46)</f>
        <v>0.24380000000000002</v>
      </c>
      <c r="AA47">
        <f t="shared" si="76"/>
        <v>0.22802000000000003</v>
      </c>
      <c r="AB47"/>
      <c r="AC47">
        <f t="shared" ref="AC47:AD47" si="77">AVERAGE(AC42:AC46)</f>
        <v>0.75693999999999995</v>
      </c>
      <c r="AD47">
        <f t="shared" si="77"/>
        <v>0.69868000000000008</v>
      </c>
      <c r="AE47"/>
      <c r="AF47">
        <f t="shared" ref="AF47:AG47" si="78">AVERAGE(AF42:AF46)</f>
        <v>0.24321999999999999</v>
      </c>
      <c r="AG47">
        <f t="shared" si="78"/>
        <v>0.22801999999999997</v>
      </c>
    </row>
    <row r="48" spans="1:33" s="4" customFormat="1" hidden="1" x14ac:dyDescent="0.25">
      <c r="A48" s="4" t="s">
        <v>25</v>
      </c>
      <c r="E48" s="4">
        <f>_xlfn.STDEV.P(E42:E46)</f>
        <v>2.2346955049849623E-2</v>
      </c>
      <c r="F48" s="4">
        <f>_xlfn.STDEV.P(F42:F46)</f>
        <v>8.7082489629086834E-3</v>
      </c>
      <c r="K48" s="4">
        <f>_xlfn.STDEV.P(K42:K46)</f>
        <v>1.4840485167271194E-3</v>
      </c>
      <c r="L48" s="4">
        <f>_xlfn.STDEV.P(L42:L46)</f>
        <v>1.9673332203772789E-3</v>
      </c>
      <c r="N48" s="4">
        <f t="shared" ref="N48:O48" si="79">_xlfn.STDEV.P(N42:N46)</f>
        <v>1.1916375287813047E-3</v>
      </c>
      <c r="O48" s="4">
        <f t="shared" si="79"/>
        <v>1.519210321186635E-3</v>
      </c>
      <c r="Q48" s="4">
        <f t="shared" ref="Q48:R48" si="80">_xlfn.STDEV.P(Q42:Q46)</f>
        <v>7.7717436910901803E-4</v>
      </c>
      <c r="R48" s="4">
        <f t="shared" si="80"/>
        <v>8.6394444265821874E-4</v>
      </c>
      <c r="T48" s="4">
        <f t="shared" ref="T48:U48" si="81">_xlfn.STDEV.P(T42:T46)</f>
        <v>4.7074409183759541E-4</v>
      </c>
      <c r="U48" s="4">
        <f t="shared" si="81"/>
        <v>3.0066592756746011E-4</v>
      </c>
      <c r="W48" s="4">
        <f t="shared" ref="W48:X48" si="82">_xlfn.STDEV.P(W42:W46)</f>
        <v>2.2141364004957015E-3</v>
      </c>
      <c r="X48" s="4">
        <f t="shared" si="82"/>
        <v>2.2905021283552832E-3</v>
      </c>
      <c r="Z48" s="4">
        <f t="shared" ref="Z48:AA48" si="83">_xlfn.STDEV.P(Z42:Z46)</f>
        <v>9.2303846073715334E-4</v>
      </c>
      <c r="AA48" s="4">
        <f t="shared" si="83"/>
        <v>8.7726848797844569E-4</v>
      </c>
      <c r="AC48" s="4">
        <f t="shared" ref="AC48:AD48" si="84">_xlfn.STDEV.P(AC42:AC46)</f>
        <v>6.5299310869257289E-4</v>
      </c>
      <c r="AD48" s="4">
        <f t="shared" si="84"/>
        <v>1.8733926443754462E-3</v>
      </c>
      <c r="AF48" s="4">
        <f t="shared" ref="AF48:AG48" si="85">_xlfn.STDEV.P(AF42:AF46)</f>
        <v>1.3555810562264465E-3</v>
      </c>
      <c r="AG48" s="4">
        <f t="shared" si="85"/>
        <v>4.7020846440701206E-3</v>
      </c>
    </row>
    <row r="49" spans="1:33" s="4" customFormat="1" hidden="1" x14ac:dyDescent="0.25">
      <c r="A49" s="4" t="s">
        <v>26</v>
      </c>
      <c r="E49" s="1">
        <f>20*LOG10(E47/E48)</f>
        <v>36.494268861982839</v>
      </c>
      <c r="F49" s="1">
        <f>20*LOG10(F47/F48)</f>
        <v>41.913339658353195</v>
      </c>
      <c r="G49" s="1"/>
      <c r="H49" s="1"/>
      <c r="I49" s="1"/>
      <c r="J49" s="1"/>
      <c r="K49" s="1">
        <f>20*LOG10(K47/K48)</f>
        <v>54.153644024545102</v>
      </c>
      <c r="L49" s="1">
        <f>20*LOG10(L47/L48)</f>
        <v>51.04249970774184</v>
      </c>
      <c r="M49" s="1"/>
      <c r="N49" s="1">
        <f t="shared" ref="N49:O49" si="86">20*LOG10(N47/N48)</f>
        <v>46.185666852272</v>
      </c>
      <c r="O49" s="1">
        <f t="shared" si="86"/>
        <v>43.445966573570331</v>
      </c>
      <c r="P49" s="1"/>
      <c r="Q49" s="1">
        <f t="shared" ref="Q49:R49" si="87">20*LOG10(Q47/Q48)</f>
        <v>59.770400718533416</v>
      </c>
      <c r="R49" s="1">
        <f t="shared" si="87"/>
        <v>58.175470081479631</v>
      </c>
      <c r="S49" s="1"/>
      <c r="T49" s="1">
        <f t="shared" ref="T49:U49" si="88">20*LOG10(T47/T48)</f>
        <v>47.354766968347953</v>
      </c>
      <c r="U49" s="1">
        <f t="shared" si="88"/>
        <v>50.68999897352932</v>
      </c>
      <c r="V49" s="1"/>
      <c r="W49" s="1">
        <f t="shared" ref="W49:X49" si="89">20*LOG10(W47/W48)</f>
        <v>52.148274749228271</v>
      </c>
      <c r="X49" s="1">
        <f t="shared" si="89"/>
        <v>51.200302284893048</v>
      </c>
      <c r="Y49" s="10"/>
      <c r="Z49" s="1">
        <f t="shared" ref="Z49:AA49" si="90">20*LOG10(Z47/Z48)</f>
        <v>48.436278077980191</v>
      </c>
      <c r="AA49" s="1">
        <f t="shared" si="90"/>
        <v>48.296808236439674</v>
      </c>
      <c r="AB49" s="1"/>
      <c r="AC49" s="1">
        <f t="shared" ref="AC49:AD49" si="91">20*LOG10(AC47/AC48)</f>
        <v>61.283057156853715</v>
      </c>
      <c r="AD49" s="1">
        <f t="shared" si="91"/>
        <v>51.432990017542579</v>
      </c>
      <c r="AE49" s="1"/>
      <c r="AF49" s="1">
        <f t="shared" ref="AF49:AG49" si="92">20*LOG10(AF47/AF48)</f>
        <v>45.077475860909651</v>
      </c>
      <c r="AG49" s="1">
        <f t="shared" si="92"/>
        <v>33.713649971444902</v>
      </c>
    </row>
    <row r="50" spans="1:33" s="3" customFormat="1" hidden="1" x14ac:dyDescent="0.25">
      <c r="A50" s="11" t="s">
        <v>24</v>
      </c>
      <c r="E50" s="6">
        <f>(0.000528195)*2*1000</f>
        <v>1.0563899999999999</v>
      </c>
      <c r="F50" s="6">
        <f>(0.000527641)*2*1000</f>
        <v>1.0552820000000001</v>
      </c>
      <c r="G50" s="6"/>
      <c r="H50" s="6"/>
      <c r="I50" s="6"/>
      <c r="J50" s="6"/>
      <c r="K50" s="6">
        <v>0.77170000000000005</v>
      </c>
      <c r="L50" s="6">
        <v>0.77090000000000003</v>
      </c>
      <c r="M50" s="6"/>
      <c r="N50" s="6">
        <v>0.2467</v>
      </c>
      <c r="O50" s="6">
        <v>0.24640000000000001</v>
      </c>
      <c r="P50" s="6"/>
      <c r="Q50" s="6">
        <v>0.77170000000000005</v>
      </c>
      <c r="R50" s="6">
        <v>0.77090000000000003</v>
      </c>
      <c r="S50" s="6"/>
      <c r="T50" s="6">
        <v>0.13200000000000001</v>
      </c>
      <c r="U50" s="6">
        <v>0.13189999999999999</v>
      </c>
      <c r="V50" s="6"/>
      <c r="W50" s="6">
        <v>0.90959999999999996</v>
      </c>
      <c r="X50" s="6">
        <v>0.90859999999999996</v>
      </c>
      <c r="Y50" s="6"/>
      <c r="Z50" s="6">
        <v>0.2467</v>
      </c>
      <c r="AA50" s="6">
        <v>0.24640000000000001</v>
      </c>
      <c r="AB50" s="6"/>
      <c r="AC50" s="6">
        <v>0.77170000000000005</v>
      </c>
      <c r="AD50" s="6">
        <v>0.77090000000000003</v>
      </c>
      <c r="AE50" s="16"/>
      <c r="AF50" s="6">
        <v>0.2467</v>
      </c>
      <c r="AG50" s="6">
        <v>0.24640000000000001</v>
      </c>
    </row>
    <row r="51" spans="1:33" s="5" customFormat="1" hidden="1" x14ac:dyDescent="0.25">
      <c r="A51" s="5" t="s">
        <v>58</v>
      </c>
      <c r="K51" s="17">
        <f>K47/$E$47</f>
        <v>0.5072224902181488</v>
      </c>
      <c r="L51" s="17">
        <f>L47/$F$47</f>
        <v>0.64625674853973569</v>
      </c>
      <c r="N51" s="17">
        <f>N47/$E$47</f>
        <v>0.16274052634399958</v>
      </c>
      <c r="O51" s="17">
        <f>O47/$F$47</f>
        <v>0.20812220154410277</v>
      </c>
      <c r="Q51" s="17">
        <f>Q47/$E$47</f>
        <v>0.50711529184756388</v>
      </c>
      <c r="R51" s="17">
        <f>R47/$F$47</f>
        <v>0.64515118571612817</v>
      </c>
      <c r="T51" s="17">
        <f>T47/$E$47</f>
        <v>7.355148201747333E-2</v>
      </c>
      <c r="U51" s="17">
        <f>U47/$F$47</f>
        <v>9.4838864218459218E-2</v>
      </c>
      <c r="W51" s="17">
        <f>W47/$E$47</f>
        <v>0.60073966875703488</v>
      </c>
      <c r="X51" s="17">
        <f>X47/$F$47</f>
        <v>0.76621031490114433</v>
      </c>
      <c r="Z51" s="17">
        <f>Z47/$E$47</f>
        <v>0.1633435171785389</v>
      </c>
      <c r="AA51" s="17">
        <f>AA47/$F$47</f>
        <v>0.21007536253247591</v>
      </c>
      <c r="AC51" s="17">
        <f>AC47/$E$47</f>
        <v>0.50714209144021016</v>
      </c>
      <c r="AD51" s="17">
        <f>AD47/$F$47</f>
        <v>0.64369552799837859</v>
      </c>
      <c r="AF51" s="17">
        <f>AF47/$E$47</f>
        <v>0.16295492308516912</v>
      </c>
      <c r="AG51" s="17">
        <f>AG47/$F$47</f>
        <v>0.21007536253247588</v>
      </c>
    </row>
    <row r="52" spans="1:33" s="5" customFormat="1" hidden="1" x14ac:dyDescent="0.25">
      <c r="A52" s="5" t="s">
        <v>59</v>
      </c>
      <c r="K52" s="17">
        <f>K50/$E$50</f>
        <v>0.73050672573576059</v>
      </c>
      <c r="L52" s="17">
        <f>L50/$F$50</f>
        <v>0.73051563468343061</v>
      </c>
      <c r="N52" s="17">
        <f>N50/$E$50</f>
        <v>0.2335311769327616</v>
      </c>
      <c r="O52" s="17">
        <f>O50/$F$50</f>
        <v>0.23349209026591944</v>
      </c>
      <c r="Q52" s="17">
        <f>Q50/$E$50</f>
        <v>0.73050672573576059</v>
      </c>
      <c r="R52" s="17">
        <f>R50/$F$50</f>
        <v>0.73051563468343061</v>
      </c>
      <c r="T52" s="17">
        <f>T50/$E$50</f>
        <v>0.1249538522704683</v>
      </c>
      <c r="U52" s="17">
        <f>U50/$F$50</f>
        <v>0.12499028695647228</v>
      </c>
      <c r="W52" s="17">
        <f>W50/$E$50</f>
        <v>0.86104563655468147</v>
      </c>
      <c r="X52" s="17">
        <f>X50/$F$50</f>
        <v>0.86100208285557789</v>
      </c>
      <c r="Z52" s="17">
        <f>Z50/$E$50</f>
        <v>0.2335311769327616</v>
      </c>
      <c r="AA52" s="17">
        <f>AA50/$F$50</f>
        <v>0.23349209026591944</v>
      </c>
      <c r="AC52" s="17">
        <f>AC50/$E$50</f>
        <v>0.73050672573576059</v>
      </c>
      <c r="AD52" s="17">
        <f>AD50/$F$50</f>
        <v>0.73051563468343061</v>
      </c>
      <c r="AF52" s="17">
        <f>AF50/$E$50</f>
        <v>0.2335311769327616</v>
      </c>
      <c r="AG52" s="17">
        <f>AG50/$F$50</f>
        <v>0.23349209026591944</v>
      </c>
    </row>
    <row r="53" spans="1:33" hidden="1" x14ac:dyDescent="0.25">
      <c r="A53" s="5" t="s">
        <v>30</v>
      </c>
      <c r="B53" s="5"/>
      <c r="C53" s="5"/>
      <c r="D53" s="5"/>
      <c r="E53" s="5"/>
      <c r="F53" s="5">
        <f>1-((ABS(F50-F47))/F47)</f>
        <v>0.97223378968509888</v>
      </c>
      <c r="G53" s="5"/>
      <c r="H53" s="5"/>
      <c r="I53" s="5"/>
      <c r="J53" s="5"/>
      <c r="K53" s="5">
        <f>1-((ABS(K51-K52))/K52)</f>
        <v>0.69434335420701065</v>
      </c>
      <c r="L53" s="5">
        <f t="shared" ref="L53" si="93">1-((ABS(L51-L52))/L52)</f>
        <v>0.88465833974900676</v>
      </c>
      <c r="M53" s="5"/>
      <c r="N53" s="5">
        <f>1-((ABS(N51-N52))/N52)</f>
        <v>0.69686852300177415</v>
      </c>
      <c r="O53" s="5">
        <f t="shared" ref="O53" si="94">1-((ABS(O51-O52))/O52)</f>
        <v>0.89134583234522669</v>
      </c>
      <c r="P53" s="5"/>
      <c r="Q53" s="5">
        <f>1-((ABS(Q51-Q52))/Q52)</f>
        <v>0.69419660898645574</v>
      </c>
      <c r="R53" s="5">
        <f t="shared" ref="R53" si="95">1-((ABS(R51-R52))/R52)</f>
        <v>0.88314493911647052</v>
      </c>
      <c r="S53" s="5"/>
      <c r="T53" s="5">
        <f>1-((ABS(T51-T52))/T52)</f>
        <v>0.58862916733665638</v>
      </c>
      <c r="U53" s="5">
        <f t="shared" ref="U53" si="96">1-((ABS(U51-U52))/U52)</f>
        <v>0.75876987346614166</v>
      </c>
      <c r="V53" s="5"/>
      <c r="W53" s="5">
        <f>1-((ABS(W51-W52))/W52)</f>
        <v>0.69768621226719896</v>
      </c>
      <c r="X53" s="5">
        <f t="shared" ref="X53" si="97">1-((ABS(X51-X52))/X52)</f>
        <v>0.88990529774324179</v>
      </c>
      <c r="Y53" s="5"/>
      <c r="Z53" s="5">
        <f>1-((ABS(Z51-Z52))/Z52)</f>
        <v>0.69945058010635064</v>
      </c>
      <c r="AA53" s="5">
        <f t="shared" ref="AA53" si="98">1-((ABS(AA51-AA52))/AA52)</f>
        <v>0.8997108308603744</v>
      </c>
      <c r="AB53" s="5"/>
      <c r="AC53" s="5">
        <f>1-((ABS(AC51-AC52))/AC52)</f>
        <v>0.69423329529159461</v>
      </c>
      <c r="AD53" s="5">
        <f t="shared" ref="AD53" si="99">1-((ABS(AD51-AD52))/AD52)</f>
        <v>0.88115229495029823</v>
      </c>
      <c r="AE53" s="5"/>
      <c r="AF53" s="5">
        <f>1-((ABS(AF51-AF52))/AF52)</f>
        <v>0.69778658775006808</v>
      </c>
      <c r="AG53" s="5">
        <f t="shared" ref="AG53" si="100">1-((ABS(AG51-AG52))/AG52)</f>
        <v>0.89971083086037429</v>
      </c>
    </row>
    <row r="54" spans="1:33" hidden="1" x14ac:dyDescent="0.25"/>
    <row r="55" spans="1:33" hidden="1" x14ac:dyDescent="0.25">
      <c r="A55" s="12" t="s">
        <v>19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 spans="1:33" hidden="1" x14ac:dyDescent="0.25">
      <c r="B56" cm="1">
        <f t="array" ref="B56:AG60">_xlfn._xlws.FILTER('Dado Bruto'!A:AF, ('Dado Bruto'!A:A=11) + ('Dado Bruto'!A:A=31) + ('Dado Bruto'!A:A=51)+ ('Dado Bruto'!A:A=71)+ ('Dado Bruto'!A:A=91), "Não encontrado")</f>
        <v>11</v>
      </c>
      <c r="C56" t="str">
        <v>-&gt;</v>
      </c>
      <c r="D56" t="str">
        <v>E91</v>
      </c>
      <c r="E56">
        <v>1.5107999999999999</v>
      </c>
      <c r="F56">
        <v>1.0770999999999999</v>
      </c>
      <c r="G56" t="str">
        <v>E92</v>
      </c>
      <c r="H56">
        <v>0</v>
      </c>
      <c r="I56">
        <v>0</v>
      </c>
      <c r="J56" t="str">
        <v>E0</v>
      </c>
      <c r="K56">
        <v>0.24679999999999999</v>
      </c>
      <c r="L56">
        <v>0.22770000000000001</v>
      </c>
      <c r="M56" t="str">
        <v>E1</v>
      </c>
      <c r="N56">
        <v>0.76049999999999995</v>
      </c>
      <c r="O56">
        <v>0.68420000000000003</v>
      </c>
      <c r="P56" t="str">
        <v>E2</v>
      </c>
      <c r="Q56">
        <v>0.2452</v>
      </c>
      <c r="R56">
        <v>0.22370000000000001</v>
      </c>
      <c r="S56" t="str">
        <v>E3</v>
      </c>
      <c r="T56">
        <v>0.76170000000000004</v>
      </c>
      <c r="U56">
        <v>0.68630000000000002</v>
      </c>
      <c r="V56" t="str">
        <v>E4</v>
      </c>
      <c r="W56">
        <v>0.10589999999999999</v>
      </c>
      <c r="X56">
        <v>9.6299999999999997E-2</v>
      </c>
      <c r="Y56" t="str">
        <v>E5</v>
      </c>
      <c r="Z56">
        <v>0.97819999999999996</v>
      </c>
      <c r="AA56">
        <v>0.88449999999999995</v>
      </c>
      <c r="AB56" t="str">
        <v>E6</v>
      </c>
      <c r="AC56">
        <v>0.24610000000000001</v>
      </c>
      <c r="AD56">
        <v>0.22439999999999999</v>
      </c>
      <c r="AE56" t="str">
        <v>E7</v>
      </c>
      <c r="AF56">
        <v>0.76100000000000001</v>
      </c>
      <c r="AG56">
        <v>0.68189999999999995</v>
      </c>
    </row>
    <row r="57" spans="1:33" hidden="1" x14ac:dyDescent="0.25">
      <c r="B57">
        <v>31</v>
      </c>
      <c r="C57" t="str">
        <v>-&gt;</v>
      </c>
      <c r="D57" t="str">
        <v>E91</v>
      </c>
      <c r="E57">
        <v>1.5125999999999999</v>
      </c>
      <c r="F57">
        <v>1.0782</v>
      </c>
      <c r="G57" t="str">
        <v>E92</v>
      </c>
      <c r="H57">
        <v>0</v>
      </c>
      <c r="I57">
        <v>0</v>
      </c>
      <c r="J57" t="str">
        <v>E0</v>
      </c>
      <c r="K57">
        <v>0.24690000000000001</v>
      </c>
      <c r="L57">
        <v>0.22789999999999999</v>
      </c>
      <c r="M57" t="str">
        <v>E1</v>
      </c>
      <c r="N57">
        <v>0.76070000000000004</v>
      </c>
      <c r="O57">
        <v>0.68579999999999997</v>
      </c>
      <c r="P57" t="str">
        <v>E2</v>
      </c>
      <c r="Q57">
        <v>0.2452</v>
      </c>
      <c r="R57">
        <v>0.22550000000000001</v>
      </c>
      <c r="S57" t="str">
        <v>E3</v>
      </c>
      <c r="T57">
        <v>0.7611</v>
      </c>
      <c r="U57">
        <v>0.68799999999999994</v>
      </c>
      <c r="V57" t="str">
        <v>E4</v>
      </c>
      <c r="W57">
        <v>0.1065</v>
      </c>
      <c r="X57">
        <v>9.7199999999999995E-2</v>
      </c>
      <c r="Y57" t="str">
        <v>E5</v>
      </c>
      <c r="Z57">
        <v>0.98009999999999997</v>
      </c>
      <c r="AA57">
        <v>0.88370000000000004</v>
      </c>
      <c r="AB57" t="str">
        <v>E6</v>
      </c>
      <c r="AC57">
        <v>0.24560000000000001</v>
      </c>
      <c r="AD57">
        <v>0.2253</v>
      </c>
      <c r="AE57" t="str">
        <v>E7</v>
      </c>
      <c r="AF57">
        <v>0.76060000000000005</v>
      </c>
      <c r="AG57">
        <v>0.68169999999999997</v>
      </c>
    </row>
    <row r="58" spans="1:33" hidden="1" x14ac:dyDescent="0.25">
      <c r="B58">
        <v>51</v>
      </c>
      <c r="C58" t="str">
        <v>-&gt;</v>
      </c>
      <c r="D58" t="str">
        <v>E91</v>
      </c>
      <c r="E58">
        <v>1.4737</v>
      </c>
      <c r="F58">
        <v>1.0944</v>
      </c>
      <c r="G58" t="str">
        <v>E92</v>
      </c>
      <c r="H58">
        <v>0</v>
      </c>
      <c r="I58">
        <v>0</v>
      </c>
      <c r="J58" t="str">
        <v>E0</v>
      </c>
      <c r="K58">
        <v>0.24709999999999999</v>
      </c>
      <c r="L58">
        <v>0.22700000000000001</v>
      </c>
      <c r="M58" t="str">
        <v>E1</v>
      </c>
      <c r="N58">
        <v>0.76080000000000003</v>
      </c>
      <c r="O58">
        <v>0.68520000000000003</v>
      </c>
      <c r="P58" t="str">
        <v>E2</v>
      </c>
      <c r="Q58">
        <v>0.24579999999999999</v>
      </c>
      <c r="R58">
        <v>0.22420000000000001</v>
      </c>
      <c r="S58" t="str">
        <v>E3</v>
      </c>
      <c r="T58">
        <v>0.76080000000000003</v>
      </c>
      <c r="U58">
        <v>0.68679999999999997</v>
      </c>
      <c r="V58" t="str">
        <v>E4</v>
      </c>
      <c r="W58">
        <v>0.1065</v>
      </c>
      <c r="X58">
        <v>9.7299999999999998E-2</v>
      </c>
      <c r="Y58" t="str">
        <v>E5</v>
      </c>
      <c r="Z58">
        <v>0.98170000000000002</v>
      </c>
      <c r="AA58">
        <v>0.88849999999999996</v>
      </c>
      <c r="AB58" t="str">
        <v>E6</v>
      </c>
      <c r="AC58">
        <v>0.24590000000000001</v>
      </c>
      <c r="AD58">
        <v>0.22370000000000001</v>
      </c>
      <c r="AE58" t="str">
        <v>E7</v>
      </c>
      <c r="AF58">
        <v>0.75960000000000005</v>
      </c>
      <c r="AG58">
        <v>0.68220000000000003</v>
      </c>
    </row>
    <row r="59" spans="1:33" hidden="1" x14ac:dyDescent="0.25">
      <c r="B59">
        <v>71</v>
      </c>
      <c r="C59" t="str">
        <v>-&gt;</v>
      </c>
      <c r="D59" t="str">
        <v>E91</v>
      </c>
      <c r="E59">
        <v>1.4883999999999999</v>
      </c>
      <c r="F59">
        <v>1.0806</v>
      </c>
      <c r="G59" t="str">
        <v>E92</v>
      </c>
      <c r="H59">
        <v>0</v>
      </c>
      <c r="I59">
        <v>0</v>
      </c>
      <c r="J59" t="str">
        <v>E0</v>
      </c>
      <c r="K59">
        <v>0.24610000000000001</v>
      </c>
      <c r="L59">
        <v>0.2271</v>
      </c>
      <c r="M59" t="str">
        <v>E1</v>
      </c>
      <c r="N59">
        <v>0.75900000000000001</v>
      </c>
      <c r="O59">
        <v>0.68259999999999998</v>
      </c>
      <c r="P59" t="str">
        <v>E2</v>
      </c>
      <c r="Q59">
        <v>0.2437</v>
      </c>
      <c r="R59">
        <v>0.2213</v>
      </c>
      <c r="S59" t="str">
        <v>E3</v>
      </c>
      <c r="T59">
        <v>0.75890000000000002</v>
      </c>
      <c r="U59">
        <v>0.67079999999999995</v>
      </c>
      <c r="V59" t="str">
        <v>E4</v>
      </c>
      <c r="W59">
        <v>0.1067</v>
      </c>
      <c r="X59">
        <v>9.2700000000000005E-2</v>
      </c>
      <c r="Y59" t="str">
        <v>E5</v>
      </c>
      <c r="Z59">
        <v>0.96950000000000003</v>
      </c>
      <c r="AA59">
        <v>0.8609</v>
      </c>
      <c r="AB59" t="str">
        <v>E6</v>
      </c>
      <c r="AC59">
        <v>0.24440000000000001</v>
      </c>
      <c r="AD59">
        <v>0.2167</v>
      </c>
      <c r="AE59" t="str">
        <v>E7</v>
      </c>
      <c r="AF59">
        <v>0.74929999999999997</v>
      </c>
      <c r="AG59">
        <v>0.65510000000000002</v>
      </c>
    </row>
    <row r="60" spans="1:33" hidden="1" x14ac:dyDescent="0.25">
      <c r="B60">
        <v>91</v>
      </c>
      <c r="C60" t="str">
        <v>-&gt;</v>
      </c>
      <c r="D60" t="str">
        <v>E91</v>
      </c>
      <c r="E60">
        <v>1.4654</v>
      </c>
      <c r="F60">
        <v>1.0952999999999999</v>
      </c>
      <c r="G60" t="str">
        <v>E92</v>
      </c>
      <c r="H60">
        <v>0</v>
      </c>
      <c r="I60">
        <v>0</v>
      </c>
      <c r="J60" t="str">
        <v>E0</v>
      </c>
      <c r="K60">
        <v>0.249</v>
      </c>
      <c r="L60">
        <v>0.22040000000000001</v>
      </c>
      <c r="M60" t="str">
        <v>E1</v>
      </c>
      <c r="N60">
        <v>0.75309999999999999</v>
      </c>
      <c r="O60">
        <v>0.66490000000000005</v>
      </c>
      <c r="P60" t="str">
        <v>E2</v>
      </c>
      <c r="Q60">
        <v>0.24510000000000001</v>
      </c>
      <c r="R60">
        <v>0.21229999999999999</v>
      </c>
      <c r="S60" t="str">
        <v>E3</v>
      </c>
      <c r="T60">
        <v>0.75629999999999997</v>
      </c>
      <c r="U60">
        <v>0.66449999999999998</v>
      </c>
      <c r="V60" t="str">
        <v>E4</v>
      </c>
      <c r="W60">
        <v>0.1046</v>
      </c>
      <c r="X60">
        <v>9.5299999999999996E-2</v>
      </c>
      <c r="Y60" t="str">
        <v>E5</v>
      </c>
      <c r="Z60">
        <v>0.9627</v>
      </c>
      <c r="AA60">
        <v>0.88149999999999995</v>
      </c>
      <c r="AB60" t="str">
        <v>E6</v>
      </c>
      <c r="AC60">
        <v>0.2402</v>
      </c>
      <c r="AD60">
        <v>0.22090000000000001</v>
      </c>
      <c r="AE60" t="str">
        <v>E7</v>
      </c>
      <c r="AF60">
        <v>0.75590000000000002</v>
      </c>
      <c r="AG60">
        <v>0.6633</v>
      </c>
    </row>
    <row r="61" spans="1:33" s="4" customFormat="1" hidden="1" x14ac:dyDescent="0.25">
      <c r="A61" t="s">
        <v>23</v>
      </c>
      <c r="B61"/>
      <c r="C61"/>
      <c r="D61"/>
      <c r="E61">
        <f>AVERAGE(E56:E60)</f>
        <v>1.4901800000000001</v>
      </c>
      <c r="F61">
        <f>AVERAGE(F56:F60)</f>
        <v>1.0851199999999999</v>
      </c>
      <c r="G61"/>
      <c r="H61"/>
      <c r="I61"/>
      <c r="J61"/>
      <c r="K61">
        <f t="shared" ref="K61:L61" si="101">AVERAGE(K56:K60)</f>
        <v>0.24718000000000001</v>
      </c>
      <c r="L61">
        <f t="shared" si="101"/>
        <v>0.22601999999999997</v>
      </c>
      <c r="M61"/>
      <c r="N61">
        <f t="shared" ref="N61:O61" si="102">AVERAGE(N56:N60)</f>
        <v>0.75881999999999994</v>
      </c>
      <c r="O61">
        <f t="shared" si="102"/>
        <v>0.68054000000000003</v>
      </c>
      <c r="P61"/>
      <c r="Q61">
        <f t="shared" ref="Q61:R61" si="103">AVERAGE(Q56:Q60)</f>
        <v>0.24500000000000002</v>
      </c>
      <c r="R61">
        <f t="shared" si="103"/>
        <v>0.22139999999999999</v>
      </c>
      <c r="S61"/>
      <c r="T61">
        <f t="shared" ref="T61:U61" si="104">AVERAGE(T56:T60)</f>
        <v>0.7597600000000001</v>
      </c>
      <c r="U61">
        <f t="shared" si="104"/>
        <v>0.67927999999999988</v>
      </c>
      <c r="V61"/>
      <c r="W61">
        <f t="shared" ref="W61:X61" si="105">AVERAGE(W56:W60)</f>
        <v>0.10604</v>
      </c>
      <c r="X61">
        <f t="shared" si="105"/>
        <v>9.5759999999999998E-2</v>
      </c>
      <c r="Y61"/>
      <c r="Z61">
        <f t="shared" ref="Z61:AA61" si="106">AVERAGE(Z56:Z60)</f>
        <v>0.97444000000000008</v>
      </c>
      <c r="AA61">
        <f t="shared" si="106"/>
        <v>0.87981999999999994</v>
      </c>
      <c r="AB61"/>
      <c r="AC61">
        <f t="shared" ref="AC61:AD61" si="107">AVERAGE(AC56:AC60)</f>
        <v>0.24443999999999999</v>
      </c>
      <c r="AD61">
        <f t="shared" si="107"/>
        <v>0.22220000000000001</v>
      </c>
      <c r="AE61"/>
      <c r="AF61">
        <f t="shared" ref="AF61:AG61" si="108">AVERAGE(AF56:AF60)</f>
        <v>0.75727999999999995</v>
      </c>
      <c r="AG61">
        <f t="shared" si="108"/>
        <v>0.67283999999999999</v>
      </c>
    </row>
    <row r="62" spans="1:33" s="4" customFormat="1" hidden="1" x14ac:dyDescent="0.25">
      <c r="A62" s="4" t="s">
        <v>25</v>
      </c>
      <c r="E62" s="4">
        <f>_xlfn.STDEV.P(E56:E60)</f>
        <v>1.9061206677437777E-2</v>
      </c>
      <c r="F62" s="4">
        <f>_xlfn.STDEV.P(F56:F60)</f>
        <v>8.0297945179188691E-3</v>
      </c>
      <c r="K62" s="4">
        <f>_xlfn.STDEV.P(K56:K60)</f>
        <v>9.7036075765665343E-4</v>
      </c>
      <c r="L62" s="4">
        <f>_xlfn.STDEV.P(L56:L60)</f>
        <v>2.8308302669005038E-3</v>
      </c>
      <c r="N62" s="4">
        <f t="shared" ref="N62:O62" si="109">_xlfn.STDEV.P(N56:N60)</f>
        <v>2.9335302964176193E-3</v>
      </c>
      <c r="O62" s="4">
        <f t="shared" si="109"/>
        <v>7.8947070876632108E-3</v>
      </c>
      <c r="Q62" s="4">
        <f t="shared" ref="Q62:R62" si="110">_xlfn.STDEV.P(Q56:Q60)</f>
        <v>6.9570108523704178E-4</v>
      </c>
      <c r="R62" s="4">
        <f t="shared" si="110"/>
        <v>4.7488946082220092E-3</v>
      </c>
      <c r="T62" s="4">
        <f t="shared" ref="T62:U62" si="111">_xlfn.STDEV.P(T56:T60)</f>
        <v>1.9673332203772901E-3</v>
      </c>
      <c r="U62" s="4">
        <f t="shared" si="111"/>
        <v>9.7183126107364994E-3</v>
      </c>
      <c r="W62" s="4">
        <f t="shared" ref="W62:X62" si="112">_xlfn.STDEV.P(W56:W60)</f>
        <v>7.6837490849194254E-4</v>
      </c>
      <c r="X62" s="4">
        <f t="shared" si="112"/>
        <v>1.691862878604525E-3</v>
      </c>
      <c r="Z62" s="4">
        <f t="shared" ref="Z62:AA62" si="113">_xlfn.STDEV.P(Z56:Z60)</f>
        <v>7.226506763298563E-3</v>
      </c>
      <c r="AA62" s="4">
        <f t="shared" si="113"/>
        <v>9.7271578582852156E-3</v>
      </c>
      <c r="AC62" s="4">
        <f t="shared" ref="AC62:AD62" si="114">_xlfn.STDEV.P(AC56:AC60)</f>
        <v>2.2005453869438875E-3</v>
      </c>
      <c r="AD62" s="4">
        <f t="shared" si="114"/>
        <v>3.1189741903388654E-3</v>
      </c>
      <c r="AF62" s="4">
        <f t="shared" ref="AF62:AG62" si="115">_xlfn.STDEV.P(AF56:AF60)</f>
        <v>4.3778533552416114E-3</v>
      </c>
      <c r="AG62" s="4">
        <f t="shared" si="115"/>
        <v>1.1436013291352879E-2</v>
      </c>
    </row>
    <row r="63" spans="1:33" s="4" customFormat="1" hidden="1" x14ac:dyDescent="0.25">
      <c r="A63" s="4" t="s">
        <v>26</v>
      </c>
      <c r="E63" s="1">
        <f>20*LOG10(E61/E62)</f>
        <v>37.861766799747627</v>
      </c>
      <c r="F63" s="1">
        <f>20*LOG10(F61/F62)</f>
        <v>42.61546672506811</v>
      </c>
      <c r="G63" s="1"/>
      <c r="H63" s="1"/>
      <c r="I63" s="1"/>
      <c r="J63" s="1"/>
      <c r="K63" s="1">
        <f>20*LOG10(K61/K62)</f>
        <v>48.121602059672099</v>
      </c>
      <c r="L63" s="1">
        <f>20*LOG10(L61/L62)</f>
        <v>38.044660804078468</v>
      </c>
      <c r="M63" s="1"/>
      <c r="N63" s="1">
        <f t="shared" ref="N63:O63" si="116">20*LOG10(N61/N62)</f>
        <v>48.254963822667932</v>
      </c>
      <c r="O63" s="1">
        <f t="shared" si="116"/>
        <v>38.7103527092749</v>
      </c>
      <c r="P63" s="1"/>
      <c r="Q63" s="1">
        <f t="shared" ref="Q63:R63" si="117">20*LOG10(Q61/Q62)</f>
        <v>50.934868070846548</v>
      </c>
      <c r="R63" s="1">
        <f t="shared" si="117"/>
        <v>33.371701702218608</v>
      </c>
      <c r="S63" s="1"/>
      <c r="T63" s="1">
        <f t="shared" ref="T63:U63" si="118">20*LOG10(T61/T62)</f>
        <v>51.735969989737768</v>
      </c>
      <c r="U63" s="1">
        <f t="shared" si="118"/>
        <v>36.889159257823657</v>
      </c>
      <c r="V63" s="1"/>
      <c r="W63" s="1">
        <f t="shared" ref="W63:X63" si="119">20*LOG10(W61/W62)</f>
        <v>42.797930893071261</v>
      </c>
      <c r="X63" s="1">
        <f t="shared" si="119"/>
        <v>35.056379515734122</v>
      </c>
      <c r="Y63" s="10"/>
      <c r="Z63" s="1">
        <f t="shared" ref="Z63:AA63" si="120">20*LOG10(Z61/Z62)</f>
        <v>42.596533792639867</v>
      </c>
      <c r="AA63" s="1">
        <f t="shared" si="120"/>
        <v>39.128157323431473</v>
      </c>
      <c r="AB63" s="1"/>
      <c r="AC63" s="1">
        <f t="shared" ref="AC63:AD63" si="121">20*LOG10(AC61/AC62)</f>
        <v>40.912838891910809</v>
      </c>
      <c r="AD63" s="1">
        <f t="shared" si="121"/>
        <v>37.054645472810385</v>
      </c>
      <c r="AE63" s="1"/>
      <c r="AF63" s="1">
        <f t="shared" ref="AF63:AG63" si="122">20*LOG10(AF61/AF62)</f>
        <v>44.759905543824665</v>
      </c>
      <c r="AG63" s="1">
        <f t="shared" si="122"/>
        <v>35.392743014138901</v>
      </c>
    </row>
    <row r="64" spans="1:33" s="3" customFormat="1" hidden="1" x14ac:dyDescent="0.25">
      <c r="A64" s="11" t="s">
        <v>24</v>
      </c>
      <c r="E64" s="6">
        <f>(0.000528089)*2*1000</f>
        <v>1.0561780000000001</v>
      </c>
      <c r="F64" s="6">
        <f>(0.000527594)*2*1000</f>
        <v>1.055188</v>
      </c>
      <c r="G64" s="6"/>
      <c r="H64" s="6"/>
      <c r="I64" s="6"/>
      <c r="J64" s="6"/>
      <c r="K64" s="6">
        <v>0.26979999999999998</v>
      </c>
      <c r="L64" s="6">
        <v>0.26960000000000001</v>
      </c>
      <c r="M64" s="6"/>
      <c r="N64" s="6">
        <v>0.79479999999999995</v>
      </c>
      <c r="O64" s="6">
        <v>0.79400000000000004</v>
      </c>
      <c r="P64" s="6"/>
      <c r="Q64" s="6">
        <v>0.26979999999999998</v>
      </c>
      <c r="R64" s="6">
        <v>0.26960000000000001</v>
      </c>
      <c r="S64" s="6"/>
      <c r="T64" s="6">
        <v>0.79479999999999995</v>
      </c>
      <c r="U64" s="6">
        <v>0.79400000000000004</v>
      </c>
      <c r="V64" s="6"/>
      <c r="W64" s="6">
        <v>0.13200000000000001</v>
      </c>
      <c r="X64" s="6">
        <v>0.13189999999999999</v>
      </c>
      <c r="Y64" s="6"/>
      <c r="Z64" s="6">
        <v>1.0408999999999999</v>
      </c>
      <c r="AA64" s="6">
        <v>1.0399</v>
      </c>
      <c r="AB64" s="6"/>
      <c r="AC64" s="6">
        <v>0.26979999999999998</v>
      </c>
      <c r="AD64" s="6">
        <v>0.26960000000000001</v>
      </c>
      <c r="AE64" s="16"/>
      <c r="AF64" s="6">
        <v>0.79479999999999995</v>
      </c>
      <c r="AG64" s="6">
        <v>0.79400000000000004</v>
      </c>
    </row>
    <row r="65" spans="1:33" s="5" customFormat="1" hidden="1" x14ac:dyDescent="0.25">
      <c r="A65" s="5" t="s">
        <v>58</v>
      </c>
      <c r="K65" s="17">
        <f>K61/$E$61</f>
        <v>0.16587257915151191</v>
      </c>
      <c r="L65" s="17">
        <f>L61/$F$61</f>
        <v>0.2082903273370687</v>
      </c>
      <c r="N65" s="17">
        <f>N61/$E$61</f>
        <v>0.50921365204203517</v>
      </c>
      <c r="O65" s="17">
        <f>O61/$F$61</f>
        <v>0.6271564435269833</v>
      </c>
      <c r="Q65" s="17">
        <f>Q61/$E$61</f>
        <v>0.16440966863063525</v>
      </c>
      <c r="R65" s="17">
        <f>R61/$F$61</f>
        <v>0.20403273370687114</v>
      </c>
      <c r="T65" s="17">
        <f>T61/$E$61</f>
        <v>0.5098444483216793</v>
      </c>
      <c r="U65" s="17">
        <f>U61/$F$61</f>
        <v>0.62599528162783835</v>
      </c>
      <c r="W65" s="17">
        <f>W61/$E$61</f>
        <v>7.1159188822826763E-2</v>
      </c>
      <c r="X65" s="17">
        <f>X61/$F$61</f>
        <v>8.8248304335004427E-2</v>
      </c>
      <c r="Z65" s="17">
        <f>Z61/$E$61</f>
        <v>0.65390758163443341</v>
      </c>
      <c r="AA65" s="17">
        <f>AA61/$F$61</f>
        <v>0.8108043350044235</v>
      </c>
      <c r="AC65" s="17">
        <f>AC61/$E$61</f>
        <v>0.16403387510233661</v>
      </c>
      <c r="AD65" s="17">
        <f>AD61/$F$61</f>
        <v>0.20476997935712182</v>
      </c>
      <c r="AF65" s="17">
        <f>AF61/$E$61</f>
        <v>0.50818021983921402</v>
      </c>
      <c r="AG65" s="17">
        <f>AG61/$F$61</f>
        <v>0.62006045414332067</v>
      </c>
    </row>
    <row r="66" spans="1:33" s="5" customFormat="1" hidden="1" x14ac:dyDescent="0.25">
      <c r="A66" s="5" t="s">
        <v>59</v>
      </c>
      <c r="K66" s="17">
        <f>K64/$E$64</f>
        <v>0.25544936554255054</v>
      </c>
      <c r="L66" s="17">
        <f>L64/$F$64</f>
        <v>0.25549949392904392</v>
      </c>
      <c r="N66" s="17">
        <f>N64/$E$64</f>
        <v>0.75252466913720972</v>
      </c>
      <c r="O66" s="17">
        <f>O64/$F$64</f>
        <v>0.75247254517678364</v>
      </c>
      <c r="Q66" s="17">
        <f>Q64/$E$64</f>
        <v>0.25544936554255054</v>
      </c>
      <c r="R66" s="17">
        <f>R64/$F$64</f>
        <v>0.25549949392904392</v>
      </c>
      <c r="T66" s="17">
        <f>T64/$E$64</f>
        <v>0.75252466913720972</v>
      </c>
      <c r="U66" s="17">
        <f>U64/$F$64</f>
        <v>0.75247254517678364</v>
      </c>
      <c r="W66" s="17">
        <f>W64/$E$64</f>
        <v>0.12497893347522861</v>
      </c>
      <c r="X66" s="17">
        <f>X64/$F$64</f>
        <v>0.12500142154762942</v>
      </c>
      <c r="Z66" s="17">
        <f>Z64/$E$64</f>
        <v>0.98553463526034424</v>
      </c>
      <c r="AA66" s="17">
        <f>AA64/$F$64</f>
        <v>0.98551158656087823</v>
      </c>
      <c r="AC66" s="17">
        <f>AC64/$E$64</f>
        <v>0.25544936554255054</v>
      </c>
      <c r="AD66" s="17">
        <f>AD64/$F$64</f>
        <v>0.25549949392904392</v>
      </c>
      <c r="AF66" s="17">
        <f>AF64/$E$64</f>
        <v>0.75252466913720972</v>
      </c>
      <c r="AG66" s="17">
        <f>AG64/$F$64</f>
        <v>0.75247254517678364</v>
      </c>
    </row>
    <row r="67" spans="1:33" hidden="1" x14ac:dyDescent="0.25">
      <c r="A67" s="5" t="s">
        <v>30</v>
      </c>
      <c r="B67" s="5"/>
      <c r="C67" s="5"/>
      <c r="D67" s="5"/>
      <c r="E67" s="5"/>
      <c r="F67" s="5"/>
      <c r="G67" s="5"/>
      <c r="H67" s="5"/>
      <c r="I67" s="5"/>
      <c r="J67" s="5"/>
      <c r="K67" s="5">
        <f>1-((ABS(K65-K66))/K66)</f>
        <v>0.64933643033019117</v>
      </c>
      <c r="L67" s="5">
        <f t="shared" ref="L67" si="123">1-((ABS(L65-L66))/L66)</f>
        <v>0.81522794481508476</v>
      </c>
      <c r="M67" s="5"/>
      <c r="N67" s="5">
        <f>1-((ABS(N65-N66))/N66)</f>
        <v>0.6766736997816466</v>
      </c>
      <c r="O67" s="5">
        <f t="shared" ref="O67" si="124">1-((ABS(O65-O66))/O66)</f>
        <v>0.83346089840346405</v>
      </c>
      <c r="P67" s="5"/>
      <c r="Q67" s="5">
        <f>1-((ABS(Q65-Q66))/Q66)</f>
        <v>0.64360961821707607</v>
      </c>
      <c r="R67" s="5">
        <f t="shared" ref="R67" si="125">1-((ABS(R65-R66))/R66)</f>
        <v>0.79856414026218825</v>
      </c>
      <c r="S67" s="5"/>
      <c r="T67" s="5">
        <f>1-((ABS(T65-T66))/T66)</f>
        <v>0.67751193978295754</v>
      </c>
      <c r="U67" s="5">
        <f t="shared" ref="U67" si="126">1-((ABS(U65-U66))/U66)</f>
        <v>0.83191776981148047</v>
      </c>
      <c r="V67" s="5"/>
      <c r="W67" s="5">
        <f>1-((ABS(W65-W66))/W66)</f>
        <v>0.56936946767057217</v>
      </c>
      <c r="X67" s="5">
        <f t="shared" ref="X67" si="127">1-((ABS(X65-X66))/X66)</f>
        <v>0.70597840602459938</v>
      </c>
      <c r="Y67" s="5"/>
      <c r="Z67" s="5">
        <f>1-((ABS(Z65-Z66))/Z66)</f>
        <v>0.6635054296815186</v>
      </c>
      <c r="AA67" s="5">
        <f t="shared" ref="AA67" si="128">1-((ABS(AA65-AA66))/AA66)</f>
        <v>0.82272430487993808</v>
      </c>
      <c r="AB67" s="5"/>
      <c r="AC67" s="5">
        <f>1-((ABS(AC65-AC66))/AC66)</f>
        <v>0.64213851051829396</v>
      </c>
      <c r="AD67" s="5">
        <f t="shared" ref="AD67" si="129">1-((ABS(AD65-AD66))/AD66)</f>
        <v>0.80144964754407511</v>
      </c>
      <c r="AE67" s="5"/>
      <c r="AF67" s="5">
        <f>1-((ABS(AF65-AF66))/AF66)</f>
        <v>0.67530041297098831</v>
      </c>
      <c r="AG67" s="5">
        <f t="shared" ref="AG67" si="130">1-((ABS(AG65-AG66))/AG66)</f>
        <v>0.82403066811912129</v>
      </c>
    </row>
    <row r="68" spans="1:33" hidden="1" x14ac:dyDescent="0.25"/>
    <row r="69" spans="1:33" hidden="1" x14ac:dyDescent="0.25">
      <c r="A69" s="12" t="s">
        <v>20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 spans="1:33" hidden="1" x14ac:dyDescent="0.25">
      <c r="B70" cm="1">
        <f t="array" ref="B70:AG74">_xlfn._xlws.FILTER('Dado Bruto'!A:AF, ('Dado Bruto'!A:A=13) + ('Dado Bruto'!A:A=33) + ('Dado Bruto'!A:A=53)+ ('Dado Bruto'!A:A=73)+ ('Dado Bruto'!A:A=93), "Não encontrado")</f>
        <v>13</v>
      </c>
      <c r="C70" t="str">
        <v>-&gt;</v>
      </c>
      <c r="D70" t="str">
        <v>E91</v>
      </c>
      <c r="E70">
        <v>1.5157</v>
      </c>
      <c r="F70">
        <v>1.0797000000000001</v>
      </c>
      <c r="G70" t="str">
        <v>E92</v>
      </c>
      <c r="H70">
        <v>0</v>
      </c>
      <c r="I70">
        <v>0</v>
      </c>
      <c r="J70" t="str">
        <v>E0</v>
      </c>
      <c r="K70">
        <v>0.86219999999999997</v>
      </c>
      <c r="L70">
        <v>0.7944</v>
      </c>
      <c r="M70" t="str">
        <v>E1</v>
      </c>
      <c r="N70">
        <v>0.3508</v>
      </c>
      <c r="O70">
        <v>0.32529999999999998</v>
      </c>
      <c r="P70" t="str">
        <v>E2</v>
      </c>
      <c r="Q70">
        <v>0.8609</v>
      </c>
      <c r="R70">
        <v>0.79169999999999996</v>
      </c>
      <c r="S70" t="str">
        <v>E3</v>
      </c>
      <c r="T70">
        <v>0.3468</v>
      </c>
      <c r="U70">
        <v>0.3211</v>
      </c>
      <c r="V70" t="str">
        <v>E4</v>
      </c>
      <c r="W70">
        <v>0.86229999999999996</v>
      </c>
      <c r="X70">
        <v>0.79530000000000001</v>
      </c>
      <c r="Y70" t="str">
        <v>E5</v>
      </c>
      <c r="Z70">
        <v>0.1065</v>
      </c>
      <c r="AA70">
        <v>9.8900000000000002E-2</v>
      </c>
      <c r="AB70" t="str">
        <v>E6</v>
      </c>
      <c r="AC70">
        <v>0.90920000000000001</v>
      </c>
      <c r="AD70">
        <v>0.83809999999999996</v>
      </c>
      <c r="AE70" t="str">
        <v>E7</v>
      </c>
      <c r="AF70">
        <v>0.34749999999999998</v>
      </c>
      <c r="AG70">
        <v>0.32600000000000001</v>
      </c>
    </row>
    <row r="71" spans="1:33" hidden="1" x14ac:dyDescent="0.25">
      <c r="B71">
        <v>33</v>
      </c>
      <c r="C71" t="str">
        <v>-&gt;</v>
      </c>
      <c r="D71" t="str">
        <v>E91</v>
      </c>
      <c r="E71">
        <v>1.4774</v>
      </c>
      <c r="F71">
        <v>1.1153999999999999</v>
      </c>
      <c r="G71" t="str">
        <v>E92</v>
      </c>
      <c r="H71">
        <v>0</v>
      </c>
      <c r="I71">
        <v>0</v>
      </c>
      <c r="J71" t="str">
        <v>E0</v>
      </c>
      <c r="K71">
        <v>0.86260000000000003</v>
      </c>
      <c r="L71">
        <v>0.79300000000000004</v>
      </c>
      <c r="M71" t="str">
        <v>E1</v>
      </c>
      <c r="N71">
        <v>0.33839999999999998</v>
      </c>
      <c r="O71">
        <v>0.31409999999999999</v>
      </c>
      <c r="P71" t="str">
        <v>E2</v>
      </c>
      <c r="Q71">
        <v>0.85729999999999995</v>
      </c>
      <c r="R71">
        <v>0.78920000000000001</v>
      </c>
      <c r="S71" t="str">
        <v>E3</v>
      </c>
      <c r="T71">
        <v>0.3478</v>
      </c>
      <c r="U71">
        <v>0.32240000000000002</v>
      </c>
      <c r="V71" t="str">
        <v>E4</v>
      </c>
      <c r="W71">
        <v>0.86240000000000006</v>
      </c>
      <c r="X71">
        <v>0.79400000000000004</v>
      </c>
      <c r="Y71" t="str">
        <v>E5</v>
      </c>
      <c r="Z71">
        <v>0.10639999999999999</v>
      </c>
      <c r="AA71">
        <v>9.8500000000000004E-2</v>
      </c>
      <c r="AB71" t="str">
        <v>E6</v>
      </c>
      <c r="AC71">
        <v>0.90849999999999997</v>
      </c>
      <c r="AD71">
        <v>0.83460000000000001</v>
      </c>
      <c r="AE71" t="str">
        <v>E7</v>
      </c>
      <c r="AF71">
        <v>0.34649999999999997</v>
      </c>
      <c r="AG71">
        <v>0.31979999999999997</v>
      </c>
    </row>
    <row r="72" spans="1:33" hidden="1" x14ac:dyDescent="0.25">
      <c r="B72">
        <v>53</v>
      </c>
      <c r="C72" t="str">
        <v>-&gt;</v>
      </c>
      <c r="D72" t="str">
        <v>E91</v>
      </c>
      <c r="E72">
        <v>1.4663999999999999</v>
      </c>
      <c r="F72">
        <v>1.1194999999999999</v>
      </c>
      <c r="G72" t="str">
        <v>E92</v>
      </c>
      <c r="H72">
        <v>0</v>
      </c>
      <c r="I72">
        <v>0</v>
      </c>
      <c r="J72" t="str">
        <v>E0</v>
      </c>
      <c r="K72">
        <v>0.86339999999999995</v>
      </c>
      <c r="L72">
        <v>0.79410000000000003</v>
      </c>
      <c r="M72" t="str">
        <v>E1</v>
      </c>
      <c r="N72">
        <v>0.34599999999999997</v>
      </c>
      <c r="O72">
        <v>0.3221</v>
      </c>
      <c r="P72" t="str">
        <v>E2</v>
      </c>
      <c r="Q72">
        <v>0.86099999999999999</v>
      </c>
      <c r="R72">
        <v>0.79259999999999997</v>
      </c>
      <c r="S72" t="str">
        <v>E3</v>
      </c>
      <c r="T72">
        <v>0.35070000000000001</v>
      </c>
      <c r="U72">
        <v>0.32250000000000001</v>
      </c>
      <c r="V72" t="str">
        <v>E4</v>
      </c>
      <c r="W72">
        <v>0.86219999999999997</v>
      </c>
      <c r="X72">
        <v>0.79410000000000003</v>
      </c>
      <c r="Y72" t="str">
        <v>E5</v>
      </c>
      <c r="Z72">
        <v>0.10589999999999999</v>
      </c>
      <c r="AA72">
        <v>9.5500000000000002E-2</v>
      </c>
      <c r="AB72" t="str">
        <v>E6</v>
      </c>
      <c r="AC72">
        <v>0.90790000000000004</v>
      </c>
      <c r="AD72">
        <v>0.83440000000000003</v>
      </c>
      <c r="AE72" t="str">
        <v>E7</v>
      </c>
      <c r="AF72">
        <v>0.34660000000000002</v>
      </c>
      <c r="AG72">
        <v>0.31019999999999998</v>
      </c>
    </row>
    <row r="73" spans="1:33" hidden="1" x14ac:dyDescent="0.25">
      <c r="B73">
        <v>73</v>
      </c>
      <c r="C73" t="str">
        <v>-&gt;</v>
      </c>
      <c r="D73" t="str">
        <v>E91</v>
      </c>
      <c r="E73">
        <v>1.4997</v>
      </c>
      <c r="F73">
        <v>1.1026</v>
      </c>
      <c r="G73" t="str">
        <v>E92</v>
      </c>
      <c r="H73">
        <v>0</v>
      </c>
      <c r="I73">
        <v>0</v>
      </c>
      <c r="J73" t="str">
        <v>E0</v>
      </c>
      <c r="K73">
        <v>0.85680000000000001</v>
      </c>
      <c r="L73">
        <v>0.78839999999999999</v>
      </c>
      <c r="M73" t="str">
        <v>E1</v>
      </c>
      <c r="N73">
        <v>0.34710000000000002</v>
      </c>
      <c r="O73">
        <v>0.32190000000000002</v>
      </c>
      <c r="P73" t="str">
        <v>E2</v>
      </c>
      <c r="Q73">
        <v>0.85980000000000001</v>
      </c>
      <c r="R73">
        <v>0.79239999999999999</v>
      </c>
      <c r="S73" t="str">
        <v>E3</v>
      </c>
      <c r="T73">
        <v>0.34710000000000002</v>
      </c>
      <c r="U73">
        <v>0.3226</v>
      </c>
      <c r="V73" t="str">
        <v>E4</v>
      </c>
      <c r="W73">
        <v>0.86250000000000004</v>
      </c>
      <c r="X73">
        <v>0.79510000000000003</v>
      </c>
      <c r="Y73" t="str">
        <v>E5</v>
      </c>
      <c r="Z73">
        <v>0.1065</v>
      </c>
      <c r="AA73">
        <v>9.8699999999999996E-2</v>
      </c>
      <c r="AB73" t="str">
        <v>E6</v>
      </c>
      <c r="AC73">
        <v>0.90920000000000001</v>
      </c>
      <c r="AD73">
        <v>0.83660000000000001</v>
      </c>
      <c r="AE73" t="str">
        <v>E7</v>
      </c>
      <c r="AF73">
        <v>0.35</v>
      </c>
      <c r="AG73">
        <v>0.3266</v>
      </c>
    </row>
    <row r="74" spans="1:33" hidden="1" x14ac:dyDescent="0.25">
      <c r="B74">
        <v>93</v>
      </c>
      <c r="C74" t="str">
        <v>-&gt;</v>
      </c>
      <c r="D74" t="str">
        <v>E91</v>
      </c>
      <c r="E74">
        <v>1.4681999999999999</v>
      </c>
      <c r="F74">
        <v>1.103</v>
      </c>
      <c r="G74" t="str">
        <v>E92</v>
      </c>
      <c r="H74">
        <v>0</v>
      </c>
      <c r="I74">
        <v>0</v>
      </c>
      <c r="J74" t="str">
        <v>E0</v>
      </c>
      <c r="K74">
        <v>0.85850000000000004</v>
      </c>
      <c r="L74">
        <v>0.79</v>
      </c>
      <c r="M74" t="str">
        <v>E1</v>
      </c>
      <c r="N74">
        <v>0.3463</v>
      </c>
      <c r="O74">
        <v>0.31869999999999998</v>
      </c>
      <c r="P74" t="str">
        <v>E2</v>
      </c>
      <c r="Q74">
        <v>0.8579</v>
      </c>
      <c r="R74">
        <v>0.79149999999999998</v>
      </c>
      <c r="S74" t="str">
        <v>E3</v>
      </c>
      <c r="T74">
        <v>0.34739999999999999</v>
      </c>
      <c r="U74">
        <v>0.31950000000000001</v>
      </c>
      <c r="V74" t="str">
        <v>E4</v>
      </c>
      <c r="W74">
        <v>0.86299999999999999</v>
      </c>
      <c r="X74">
        <v>0.7944</v>
      </c>
      <c r="Y74" t="str">
        <v>E5</v>
      </c>
      <c r="Z74">
        <v>0.10639999999999999</v>
      </c>
      <c r="AA74">
        <v>9.8199999999999996E-2</v>
      </c>
      <c r="AB74" t="str">
        <v>E6</v>
      </c>
      <c r="AC74">
        <v>0.90749999999999997</v>
      </c>
      <c r="AD74">
        <v>0.83630000000000004</v>
      </c>
      <c r="AE74" t="str">
        <v>E7</v>
      </c>
      <c r="AF74">
        <v>0.34939999999999999</v>
      </c>
      <c r="AG74">
        <v>0.32529999999999998</v>
      </c>
    </row>
    <row r="75" spans="1:33" s="4" customFormat="1" hidden="1" x14ac:dyDescent="0.25">
      <c r="A75" t="s">
        <v>23</v>
      </c>
      <c r="B75"/>
      <c r="C75"/>
      <c r="D75"/>
      <c r="E75">
        <f>AVERAGE(E70:E74)</f>
        <v>1.4854800000000001</v>
      </c>
      <c r="F75">
        <f>AVERAGE(F70:F74)</f>
        <v>1.1040399999999999</v>
      </c>
      <c r="G75"/>
      <c r="H75"/>
      <c r="I75"/>
      <c r="J75"/>
      <c r="K75">
        <f t="shared" ref="K75:L75" si="131">AVERAGE(K70:K74)</f>
        <v>0.86070000000000013</v>
      </c>
      <c r="L75">
        <f t="shared" si="131"/>
        <v>0.79198000000000002</v>
      </c>
      <c r="M75"/>
      <c r="N75">
        <f t="shared" ref="N75:O75" si="132">AVERAGE(N70:N74)</f>
        <v>0.34572000000000003</v>
      </c>
      <c r="O75">
        <f t="shared" si="132"/>
        <v>0.32042000000000004</v>
      </c>
      <c r="P75"/>
      <c r="Q75">
        <f t="shared" ref="Q75:R75" si="133">AVERAGE(Q70:Q74)</f>
        <v>0.85938000000000003</v>
      </c>
      <c r="R75">
        <f t="shared" si="133"/>
        <v>0.79147999999999996</v>
      </c>
      <c r="S75"/>
      <c r="T75">
        <f t="shared" ref="T75:U75" si="134">AVERAGE(T70:T74)</f>
        <v>0.34795999999999999</v>
      </c>
      <c r="U75">
        <f t="shared" si="134"/>
        <v>0.32161999999999996</v>
      </c>
      <c r="V75"/>
      <c r="W75">
        <f t="shared" ref="W75:X75" si="135">AVERAGE(W70:W74)</f>
        <v>0.86248000000000002</v>
      </c>
      <c r="X75">
        <f t="shared" si="135"/>
        <v>0.79458000000000006</v>
      </c>
      <c r="Y75"/>
      <c r="Z75">
        <f t="shared" ref="Z75:AA75" si="136">AVERAGE(Z70:Z74)</f>
        <v>0.10633999999999999</v>
      </c>
      <c r="AA75">
        <f t="shared" si="136"/>
        <v>9.7960000000000019E-2</v>
      </c>
      <c r="AB75"/>
      <c r="AC75">
        <f t="shared" ref="AC75:AD75" si="137">AVERAGE(AC70:AC74)</f>
        <v>0.90846000000000005</v>
      </c>
      <c r="AD75">
        <f t="shared" si="137"/>
        <v>0.83599999999999997</v>
      </c>
      <c r="AE75"/>
      <c r="AF75">
        <f t="shared" ref="AF75:AG75" si="138">AVERAGE(AF70:AF74)</f>
        <v>0.34799999999999998</v>
      </c>
      <c r="AG75">
        <f t="shared" si="138"/>
        <v>0.32157999999999998</v>
      </c>
    </row>
    <row r="76" spans="1:33" s="4" customFormat="1" hidden="1" x14ac:dyDescent="0.25">
      <c r="A76" s="4" t="s">
        <v>25</v>
      </c>
      <c r="E76" s="4">
        <f>_xlfn.STDEV.P(E70:E74)</f>
        <v>1.9200979141700079E-2</v>
      </c>
      <c r="F76" s="4">
        <f>_xlfn.STDEV.P(F70:F74)</f>
        <v>1.3882737482211437E-2</v>
      </c>
      <c r="K76" s="4">
        <f>_xlfn.STDEV.P(K70:K74)</f>
        <v>2.5768197453450059E-3</v>
      </c>
      <c r="L76" s="4">
        <f>_xlfn.STDEV.P(L70:L74)</f>
        <v>2.3718347328597796E-3</v>
      </c>
      <c r="N76" s="4">
        <f t="shared" ref="N76:O76" si="139">_xlfn.STDEV.P(N70:N74)</f>
        <v>4.0424744897154356E-3</v>
      </c>
      <c r="O76" s="4">
        <f t="shared" si="139"/>
        <v>3.7875585804050616E-3</v>
      </c>
      <c r="Q76" s="4">
        <f t="shared" ref="Q76:R76" si="140">_xlfn.STDEV.P(Q70:Q74)</f>
        <v>1.524991803256672E-3</v>
      </c>
      <c r="R76" s="4">
        <f t="shared" si="140"/>
        <v>1.2122705968553263E-3</v>
      </c>
      <c r="T76" s="4">
        <f t="shared" ref="T76:U76" si="141">_xlfn.STDEV.P(T70:T74)</f>
        <v>1.4093970341958332E-3</v>
      </c>
      <c r="U76" s="4">
        <f t="shared" si="141"/>
        <v>1.192308684863112E-3</v>
      </c>
      <c r="W76" s="4">
        <f t="shared" ref="W76:X76" si="142">_xlfn.STDEV.P(W70:W74)</f>
        <v>2.7856776554368836E-4</v>
      </c>
      <c r="X76" s="4">
        <f t="shared" si="142"/>
        <v>5.2687759489277385E-4</v>
      </c>
      <c r="Z76" s="4">
        <f t="shared" ref="Z76:AA76" si="143">_xlfn.STDEV.P(Z70:Z74)</f>
        <v>2.2449944320643747E-4</v>
      </c>
      <c r="AA76" s="4">
        <f t="shared" si="143"/>
        <v>1.2515590277729605E-3</v>
      </c>
      <c r="AC76" s="4">
        <f t="shared" ref="AC76:AD76" si="144">_xlfn.STDEV.P(AC70:AC74)</f>
        <v>6.8293484315855898E-4</v>
      </c>
      <c r="AD76" s="4">
        <f t="shared" si="144"/>
        <v>1.3696714934610952E-3</v>
      </c>
      <c r="AF76" s="4">
        <f t="shared" ref="AF76:AG76" si="145">_xlfn.STDEV.P(AF70:AF74)</f>
        <v>1.4436065946094822E-3</v>
      </c>
      <c r="AG76" s="4">
        <f t="shared" si="145"/>
        <v>6.1846261002586177E-3</v>
      </c>
    </row>
    <row r="77" spans="1:33" s="4" customFormat="1" hidden="1" x14ac:dyDescent="0.25">
      <c r="A77" s="4" t="s">
        <v>26</v>
      </c>
      <c r="E77" s="1">
        <f>20*LOG10(E75/E76)</f>
        <v>37.770868662928351</v>
      </c>
      <c r="F77" s="1">
        <f>20*LOG10(F75/F76)</f>
        <v>38.010193940749993</v>
      </c>
      <c r="G77" s="1"/>
      <c r="H77" s="1"/>
      <c r="I77" s="1"/>
      <c r="J77" s="1"/>
      <c r="K77" s="1">
        <f>20*LOG10(K75/K76)</f>
        <v>50.475355265633112</v>
      </c>
      <c r="L77" s="1">
        <f>20*LOG10(L75/L76)</f>
        <v>50.472595797796338</v>
      </c>
      <c r="M77" s="1"/>
      <c r="N77" s="1">
        <f t="shared" ref="N77:O77" si="146">20*LOG10(N75/N76)</f>
        <v>38.641544327661251</v>
      </c>
      <c r="O77" s="1">
        <f t="shared" si="146"/>
        <v>38.547205149829857</v>
      </c>
      <c r="P77" s="1"/>
      <c r="Q77" s="1">
        <f t="shared" ref="Q77:R77" si="147">20*LOG10(Q75/Q76)</f>
        <v>55.018354658521503</v>
      </c>
      <c r="R77" s="1">
        <f t="shared" si="147"/>
        <v>56.296807469009529</v>
      </c>
      <c r="S77" s="1"/>
      <c r="T77" s="1">
        <f t="shared" ref="T77:U77" si="148">20*LOG10(T75/T76)</f>
        <v>47.849919377964753</v>
      </c>
      <c r="U77" s="1">
        <f t="shared" si="148"/>
        <v>48.61908680402631</v>
      </c>
      <c r="V77" s="1"/>
      <c r="W77" s="1">
        <f t="shared" ref="W77:X77" si="149">20*LOG10(W75/W76)</f>
        <v>69.816363448055284</v>
      </c>
      <c r="X77" s="1">
        <f t="shared" si="149"/>
        <v>63.568557970861562</v>
      </c>
      <c r="Y77" s="10"/>
      <c r="Z77" s="1">
        <f t="shared" ref="Z77:AA77" si="150">20*LOG10(Z75/Z76)</f>
        <v>53.509627755107907</v>
      </c>
      <c r="AA77" s="1">
        <f t="shared" si="150"/>
        <v>37.871948784462916</v>
      </c>
      <c r="AB77" s="1"/>
      <c r="AC77" s="1">
        <f t="shared" ref="AC77:AD77" si="151">20*LOG10(AC75/AC76)</f>
        <v>62.478530779230212</v>
      </c>
      <c r="AD77" s="1">
        <f t="shared" si="151"/>
        <v>55.711797208349992</v>
      </c>
      <c r="AE77" s="1"/>
      <c r="AF77" s="1">
        <f t="shared" ref="AF77:AG77" si="152">20*LOG10(AF75/AF76)</f>
        <v>47.642607732656785</v>
      </c>
      <c r="AG77" s="1">
        <f t="shared" si="152"/>
        <v>34.319511639222789</v>
      </c>
    </row>
    <row r="78" spans="1:33" s="3" customFormat="1" hidden="1" x14ac:dyDescent="0.25">
      <c r="A78" s="11" t="s">
        <v>24</v>
      </c>
      <c r="E78" s="6">
        <f>(0.000528159)*2*1000</f>
        <v>1.0563180000000001</v>
      </c>
      <c r="F78" s="6">
        <f>(0.000527625)*2*1000</f>
        <v>1.05525</v>
      </c>
      <c r="G78" s="6"/>
      <c r="H78" s="6"/>
      <c r="I78" s="6"/>
      <c r="J78" s="6"/>
      <c r="K78" s="6">
        <v>0.9032</v>
      </c>
      <c r="L78" s="6">
        <v>0.9022</v>
      </c>
      <c r="M78" s="6"/>
      <c r="N78" s="6">
        <v>0.37819999999999998</v>
      </c>
      <c r="O78" s="6">
        <v>0.37780000000000002</v>
      </c>
      <c r="P78" s="6"/>
      <c r="Q78" s="6">
        <v>0.9032</v>
      </c>
      <c r="R78" s="6">
        <v>0.9022</v>
      </c>
      <c r="S78" s="6"/>
      <c r="T78" s="6">
        <v>0.37819999999999998</v>
      </c>
      <c r="U78" s="6">
        <v>0.37780000000000002</v>
      </c>
      <c r="V78" s="6"/>
      <c r="W78" s="6">
        <v>0.9032</v>
      </c>
      <c r="X78" s="6">
        <v>0.9022</v>
      </c>
      <c r="Y78" s="6"/>
      <c r="Z78" s="6">
        <v>0.13200000000000001</v>
      </c>
      <c r="AA78" s="6">
        <v>0.13189999999999999</v>
      </c>
      <c r="AB78" s="6"/>
      <c r="AC78" s="16">
        <v>0.95440000000000003</v>
      </c>
      <c r="AD78" s="16">
        <v>0.95340000000000003</v>
      </c>
      <c r="AE78" s="16"/>
      <c r="AF78" s="6">
        <v>0.37819999999999998</v>
      </c>
      <c r="AG78" s="6">
        <v>0.37780000000000002</v>
      </c>
    </row>
    <row r="79" spans="1:33" s="5" customFormat="1" hidden="1" x14ac:dyDescent="0.25">
      <c r="A79" s="5" t="s">
        <v>58</v>
      </c>
      <c r="K79" s="17">
        <f>K75/$E$75</f>
        <v>0.57940867598352053</v>
      </c>
      <c r="L79" s="17">
        <f>L75/$F$75</f>
        <v>0.71734719756530563</v>
      </c>
      <c r="N79" s="17">
        <f>N75/$E$75</f>
        <v>0.23273285402698118</v>
      </c>
      <c r="O79" s="17">
        <f>O75/$F$75</f>
        <v>0.29022499184812151</v>
      </c>
      <c r="Q79" s="17">
        <f>Q75/$E$75</f>
        <v>0.57852007431941188</v>
      </c>
      <c r="R79" s="17">
        <f>R75/$F$75</f>
        <v>0.71689431542335424</v>
      </c>
      <c r="T79" s="17">
        <f>T75/$E$75</f>
        <v>0.23424078412365024</v>
      </c>
      <c r="U79" s="17">
        <f>U75/$F$75</f>
        <v>0.29131190898880477</v>
      </c>
      <c r="W79" s="17">
        <f>W75/$E$75</f>
        <v>0.58060694186390926</v>
      </c>
      <c r="X79" s="17">
        <f>X75/$F$75</f>
        <v>0.71970218470345293</v>
      </c>
      <c r="Z79" s="17">
        <f>Z75/$E$75</f>
        <v>7.1586288607049561E-2</v>
      </c>
      <c r="AA79" s="17">
        <f>AA75/$F$75</f>
        <v>8.8728669251114112E-2</v>
      </c>
      <c r="AC79" s="17">
        <f>AC75/$E$75</f>
        <v>0.61155989983035786</v>
      </c>
      <c r="AD79" s="17">
        <f>AD75/$F$75</f>
        <v>0.75721894134270495</v>
      </c>
      <c r="AF79" s="17">
        <f>AF75/$E$75</f>
        <v>0.23426771144680503</v>
      </c>
      <c r="AG79" s="17">
        <f>AG75/$F$75</f>
        <v>0.29127567841744867</v>
      </c>
    </row>
    <row r="80" spans="1:33" s="5" customFormat="1" hidden="1" x14ac:dyDescent="0.25">
      <c r="A80" s="5" t="s">
        <v>59</v>
      </c>
      <c r="K80" s="17">
        <f>K78/$E$78</f>
        <v>0.85504554499686636</v>
      </c>
      <c r="L80" s="17">
        <f>L78/$F$78</f>
        <v>0.8549632788438758</v>
      </c>
      <c r="N80" s="17">
        <f>N78/$E$78</f>
        <v>0.3580361216982007</v>
      </c>
      <c r="O80" s="17">
        <f>O78/$F$78</f>
        <v>0.35801942667614312</v>
      </c>
      <c r="Q80" s="17">
        <f>Q78/$E$78</f>
        <v>0.85504554499686636</v>
      </c>
      <c r="R80" s="17">
        <f>R78/$F$78</f>
        <v>0.8549632788438758</v>
      </c>
      <c r="T80" s="17">
        <f>T78/$E$78</f>
        <v>0.3580361216982007</v>
      </c>
      <c r="U80" s="17">
        <f>U78/$F$78</f>
        <v>0.35801942667614312</v>
      </c>
      <c r="W80" s="17">
        <f>W78/$E$78</f>
        <v>0.85504554499686636</v>
      </c>
      <c r="X80" s="17">
        <f>X78/$F$78</f>
        <v>0.8549632788438758</v>
      </c>
      <c r="Z80" s="17">
        <f>Z78/$E$78</f>
        <v>0.12496236928652167</v>
      </c>
      <c r="AA80" s="17">
        <f>AA78/$F$78</f>
        <v>0.12499407723288319</v>
      </c>
      <c r="AC80" s="17">
        <f>AC78/$E$78</f>
        <v>0.90351579732618392</v>
      </c>
      <c r="AD80" s="17">
        <f>AD78/$F$78</f>
        <v>0.90348258706467666</v>
      </c>
      <c r="AF80" s="17">
        <f>AF78/$E$78</f>
        <v>0.3580361216982007</v>
      </c>
      <c r="AG80" s="17">
        <f>AG78/$F$78</f>
        <v>0.35801942667614312</v>
      </c>
    </row>
    <row r="81" spans="1:33" hidden="1" x14ac:dyDescent="0.25">
      <c r="A81" s="5" t="s">
        <v>30</v>
      </c>
      <c r="B81" s="5"/>
      <c r="C81" s="5"/>
      <c r="D81" s="5"/>
      <c r="E81" s="5"/>
      <c r="F81" s="5">
        <f>1-((ABS(F78-F75))/F75)</f>
        <v>0.95580776058838457</v>
      </c>
      <c r="G81" s="5"/>
      <c r="H81" s="5"/>
      <c r="I81" s="5"/>
      <c r="J81" s="5"/>
      <c r="K81" s="5">
        <f>1-((ABS(K79-K80))/K80)</f>
        <v>0.67763486912927429</v>
      </c>
      <c r="L81" s="5">
        <f t="shared" ref="L81" si="153">1-((ABS(L79-L80))/L80)</f>
        <v>0.83903860588648727</v>
      </c>
      <c r="M81" s="5"/>
      <c r="N81" s="5">
        <f>1-((ABS(N79-N80))/N80)</f>
        <v>0.65002618429421655</v>
      </c>
      <c r="O81" s="5">
        <f t="shared" ref="O81" si="154">1-((ABS(O79-O80))/O80)</f>
        <v>0.81064034581188515</v>
      </c>
      <c r="P81" s="5"/>
      <c r="Q81" s="5">
        <f>1-((ABS(Q79-Q80))/Q80)</f>
        <v>0.67659562429686959</v>
      </c>
      <c r="R81" s="5">
        <f t="shared" ref="R81" si="155">1-((ABS(R79-R80))/R80)</f>
        <v>0.83850889642041082</v>
      </c>
      <c r="S81" s="5"/>
      <c r="T81" s="5">
        <f>1-((ABS(T79-T80))/T80)</f>
        <v>0.65423785458468009</v>
      </c>
      <c r="U81" s="5">
        <f t="shared" ref="U81" si="156">1-((ABS(U79-U80))/U80)</f>
        <v>0.81367626246806835</v>
      </c>
      <c r="V81" s="5"/>
      <c r="W81" s="5">
        <f>1-((ABS(W79-W80))/W80)</f>
        <v>0.67903627503963793</v>
      </c>
      <c r="X81" s="5">
        <f t="shared" ref="X81" si="157">1-((ABS(X79-X80))/X80)</f>
        <v>0.84179309511008504</v>
      </c>
      <c r="Y81" s="5"/>
      <c r="Z81" s="5">
        <f>1-((ABS(Z79-Z80))/Z80)</f>
        <v>0.57286276673349534</v>
      </c>
      <c r="AA81" s="5">
        <f t="shared" ref="AA81" si="158">1-((ABS(AA79-AA80))/AA80)</f>
        <v>0.70986298883425447</v>
      </c>
      <c r="AB81" s="5"/>
      <c r="AC81" s="5">
        <f>1-((ABS(AC79-AC80))/AC80)</f>
        <v>0.67686685904128663</v>
      </c>
      <c r="AD81" s="5">
        <f t="shared" ref="AD81" si="159">1-((ABS(AD79-AD80))/AD80)</f>
        <v>0.83811127318217893</v>
      </c>
      <c r="AE81" s="5"/>
      <c r="AF81" s="5">
        <f>1-((ABS(AF79-AF80))/AF80)</f>
        <v>0.65431306298272396</v>
      </c>
      <c r="AG81" s="5">
        <f t="shared" ref="AG81" si="160">1-((ABS(AG79-AG80))/AG80)</f>
        <v>0.81357506524619561</v>
      </c>
    </row>
    <row r="82" spans="1:33" hidden="1" x14ac:dyDescent="0.25"/>
    <row r="83" spans="1:33" hidden="1" x14ac:dyDescent="0.25">
      <c r="A83" s="12" t="s">
        <v>21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 spans="1:33" hidden="1" x14ac:dyDescent="0.25">
      <c r="B84" cm="1">
        <f t="array" ref="B84:AG88">_xlfn._xlws.FILTER('Dado Bruto'!A:AF, ('Dado Bruto'!A:A=15) + ('Dado Bruto'!A:A=35) + ('Dado Bruto'!A:A=55)+ ('Dado Bruto'!A:A=75)+ ('Dado Bruto'!A:A=95), "Não encontrado")</f>
        <v>15</v>
      </c>
      <c r="C84" t="str">
        <v>-&gt;</v>
      </c>
      <c r="D84" t="str">
        <v>E91</v>
      </c>
      <c r="E84">
        <v>1.4925999999999999</v>
      </c>
      <c r="F84">
        <v>1.0851</v>
      </c>
      <c r="G84" t="str">
        <v>E92</v>
      </c>
      <c r="H84">
        <v>0</v>
      </c>
      <c r="I84">
        <v>0</v>
      </c>
      <c r="J84" t="str">
        <v>E0</v>
      </c>
      <c r="K84">
        <v>0.1583</v>
      </c>
      <c r="L84">
        <v>0.15140000000000001</v>
      </c>
      <c r="M84" t="str">
        <v>E1</v>
      </c>
      <c r="N84">
        <v>0.67090000000000005</v>
      </c>
      <c r="O84">
        <v>0.59050000000000002</v>
      </c>
      <c r="P84" t="str">
        <v>E2</v>
      </c>
      <c r="Q84">
        <v>0.1585</v>
      </c>
      <c r="R84">
        <v>0.14280000000000001</v>
      </c>
      <c r="S84" t="str">
        <v>E3</v>
      </c>
      <c r="T84">
        <v>0.67290000000000005</v>
      </c>
      <c r="U84">
        <v>0.59299999999999997</v>
      </c>
      <c r="V84" t="str">
        <v>E4</v>
      </c>
      <c r="W84">
        <v>0.16009999999999999</v>
      </c>
      <c r="X84">
        <v>0.1424</v>
      </c>
      <c r="Y84" t="str">
        <v>E5</v>
      </c>
      <c r="Z84">
        <v>0.67230000000000001</v>
      </c>
      <c r="AA84">
        <v>0.59519999999999995</v>
      </c>
      <c r="AB84" t="str">
        <v>E6</v>
      </c>
      <c r="AC84">
        <v>0.1076</v>
      </c>
      <c r="AD84">
        <v>9.6799999999999997E-2</v>
      </c>
      <c r="AE84" t="str">
        <v>E7</v>
      </c>
      <c r="AF84">
        <v>0.997</v>
      </c>
      <c r="AG84">
        <v>0.88060000000000005</v>
      </c>
    </row>
    <row r="85" spans="1:33" hidden="1" x14ac:dyDescent="0.25">
      <c r="B85">
        <v>35</v>
      </c>
      <c r="C85" t="str">
        <v>-&gt;</v>
      </c>
      <c r="D85" t="str">
        <v>E91</v>
      </c>
      <c r="E85">
        <v>1.4977</v>
      </c>
      <c r="F85">
        <v>1.0867</v>
      </c>
      <c r="G85" t="str">
        <v>E92</v>
      </c>
      <c r="H85">
        <v>0</v>
      </c>
      <c r="I85">
        <v>0</v>
      </c>
      <c r="J85" t="str">
        <v>E0</v>
      </c>
      <c r="K85">
        <v>0.1583</v>
      </c>
      <c r="L85">
        <v>0.15110000000000001</v>
      </c>
      <c r="M85" t="str">
        <v>E1</v>
      </c>
      <c r="N85">
        <v>0.67269999999999996</v>
      </c>
      <c r="O85">
        <v>0.59640000000000004</v>
      </c>
      <c r="P85" t="str">
        <v>E2</v>
      </c>
      <c r="Q85">
        <v>0.1588</v>
      </c>
      <c r="R85">
        <v>0.1429</v>
      </c>
      <c r="S85" t="str">
        <v>E3</v>
      </c>
      <c r="T85">
        <v>0.67510000000000003</v>
      </c>
      <c r="U85">
        <v>0.5887</v>
      </c>
      <c r="V85" t="str">
        <v>E4</v>
      </c>
      <c r="W85">
        <v>0.16009999999999999</v>
      </c>
      <c r="X85">
        <v>0.14219999999999999</v>
      </c>
      <c r="Y85" t="str">
        <v>E5</v>
      </c>
      <c r="Z85">
        <v>0.67290000000000005</v>
      </c>
      <c r="AA85">
        <v>0.58919999999999995</v>
      </c>
      <c r="AB85" t="str">
        <v>E6</v>
      </c>
      <c r="AC85">
        <v>0.1076</v>
      </c>
      <c r="AD85">
        <v>9.6199999999999994E-2</v>
      </c>
      <c r="AE85" t="str">
        <v>E7</v>
      </c>
      <c r="AF85">
        <v>0.99990000000000001</v>
      </c>
      <c r="AG85">
        <v>0.88639999999999997</v>
      </c>
    </row>
    <row r="86" spans="1:33" hidden="1" x14ac:dyDescent="0.25">
      <c r="B86">
        <v>55</v>
      </c>
      <c r="C86" t="str">
        <v>-&gt;</v>
      </c>
      <c r="D86" t="str">
        <v>E91</v>
      </c>
      <c r="E86">
        <v>1.4553</v>
      </c>
      <c r="F86">
        <v>1.1158999999999999</v>
      </c>
      <c r="G86" t="str">
        <v>E92</v>
      </c>
      <c r="H86">
        <v>0</v>
      </c>
      <c r="I86">
        <v>0</v>
      </c>
      <c r="J86" t="str">
        <v>E0</v>
      </c>
      <c r="K86">
        <v>0.16139999999999999</v>
      </c>
      <c r="L86">
        <v>0.14849999999999999</v>
      </c>
      <c r="M86" t="str">
        <v>E1</v>
      </c>
      <c r="N86">
        <v>0.67410000000000003</v>
      </c>
      <c r="O86">
        <v>0.5978</v>
      </c>
      <c r="P86" t="str">
        <v>E2</v>
      </c>
      <c r="Q86">
        <v>0.15939999999999999</v>
      </c>
      <c r="R86">
        <v>0.14399999999999999</v>
      </c>
      <c r="S86" t="str">
        <v>E3</v>
      </c>
      <c r="T86">
        <v>0.67579999999999996</v>
      </c>
      <c r="U86">
        <v>0.60060000000000002</v>
      </c>
      <c r="V86" t="str">
        <v>E4</v>
      </c>
      <c r="W86">
        <v>0.15909999999999999</v>
      </c>
      <c r="X86">
        <v>0.14330000000000001</v>
      </c>
      <c r="Y86" t="str">
        <v>E5</v>
      </c>
      <c r="Z86">
        <v>0.6724</v>
      </c>
      <c r="AA86">
        <v>0.59750000000000003</v>
      </c>
      <c r="AB86" t="str">
        <v>E6</v>
      </c>
      <c r="AC86">
        <v>0.10829999999999999</v>
      </c>
      <c r="AD86">
        <v>9.74E-2</v>
      </c>
      <c r="AE86" t="str">
        <v>E7</v>
      </c>
      <c r="AF86">
        <v>0.99760000000000004</v>
      </c>
      <c r="AG86">
        <v>0.88880000000000003</v>
      </c>
    </row>
    <row r="87" spans="1:33" hidden="1" x14ac:dyDescent="0.25">
      <c r="B87">
        <v>75</v>
      </c>
      <c r="C87" t="str">
        <v>-&gt;</v>
      </c>
      <c r="D87" t="str">
        <v>E91</v>
      </c>
      <c r="E87">
        <v>1.4705999999999999</v>
      </c>
      <c r="F87">
        <v>1.1201000000000001</v>
      </c>
      <c r="G87" t="str">
        <v>E92</v>
      </c>
      <c r="H87">
        <v>0</v>
      </c>
      <c r="I87">
        <v>0</v>
      </c>
      <c r="J87" t="str">
        <v>E0</v>
      </c>
      <c r="K87">
        <v>0.16020000000000001</v>
      </c>
      <c r="L87">
        <v>0.1479</v>
      </c>
      <c r="M87" t="str">
        <v>E1</v>
      </c>
      <c r="N87">
        <v>0.67390000000000005</v>
      </c>
      <c r="O87">
        <v>0.59819999999999995</v>
      </c>
      <c r="P87" t="str">
        <v>E2</v>
      </c>
      <c r="Q87">
        <v>0.15939999999999999</v>
      </c>
      <c r="R87">
        <v>0.14449999999999999</v>
      </c>
      <c r="S87" t="str">
        <v>E3</v>
      </c>
      <c r="T87">
        <v>0.67430000000000001</v>
      </c>
      <c r="U87">
        <v>0.59909999999999997</v>
      </c>
      <c r="V87" t="str">
        <v>E4</v>
      </c>
      <c r="W87">
        <v>0.16009999999999999</v>
      </c>
      <c r="X87">
        <v>0.14449999999999999</v>
      </c>
      <c r="Y87" t="str">
        <v>E5</v>
      </c>
      <c r="Z87">
        <v>0.6734</v>
      </c>
      <c r="AA87">
        <v>0.59730000000000005</v>
      </c>
      <c r="AB87" t="str">
        <v>E6</v>
      </c>
      <c r="AC87">
        <v>0.107</v>
      </c>
      <c r="AD87">
        <v>9.69E-2</v>
      </c>
      <c r="AE87" t="str">
        <v>E7</v>
      </c>
      <c r="AF87">
        <v>0.99960000000000004</v>
      </c>
      <c r="AG87">
        <v>0.88519999999999999</v>
      </c>
    </row>
    <row r="88" spans="1:33" hidden="1" x14ac:dyDescent="0.25">
      <c r="B88">
        <v>95</v>
      </c>
      <c r="C88" t="str">
        <v>-&gt;</v>
      </c>
      <c r="D88" t="str">
        <v>E91</v>
      </c>
      <c r="E88">
        <v>1.5065</v>
      </c>
      <c r="F88">
        <v>1.0803</v>
      </c>
      <c r="G88" t="str">
        <v>E92</v>
      </c>
      <c r="H88">
        <v>0</v>
      </c>
      <c r="I88">
        <v>0</v>
      </c>
      <c r="J88" t="str">
        <v>E0</v>
      </c>
      <c r="K88">
        <v>0.1605</v>
      </c>
      <c r="L88">
        <v>0.14899999999999999</v>
      </c>
      <c r="M88" t="str">
        <v>E1</v>
      </c>
      <c r="N88">
        <v>0.6734</v>
      </c>
      <c r="O88">
        <v>0.59870000000000001</v>
      </c>
      <c r="P88" t="str">
        <v>E2</v>
      </c>
      <c r="Q88">
        <v>0.16009999999999999</v>
      </c>
      <c r="R88">
        <v>0.14460000000000001</v>
      </c>
      <c r="S88" t="str">
        <v>E3</v>
      </c>
      <c r="T88">
        <v>0.67379999999999995</v>
      </c>
      <c r="U88">
        <v>0.59850000000000003</v>
      </c>
      <c r="V88" t="str">
        <v>E4</v>
      </c>
      <c r="W88">
        <v>0.16089999999999999</v>
      </c>
      <c r="X88">
        <v>0.14460000000000001</v>
      </c>
      <c r="Y88" t="str">
        <v>E5</v>
      </c>
      <c r="Z88">
        <v>0.67400000000000004</v>
      </c>
      <c r="AA88">
        <v>0.59750000000000003</v>
      </c>
      <c r="AB88" t="str">
        <v>E6</v>
      </c>
      <c r="AC88">
        <v>0.1074</v>
      </c>
      <c r="AD88">
        <v>9.7100000000000006E-2</v>
      </c>
      <c r="AE88" t="str">
        <v>E7</v>
      </c>
      <c r="AF88">
        <v>0.99850000000000005</v>
      </c>
      <c r="AG88">
        <v>0.88260000000000005</v>
      </c>
    </row>
    <row r="89" spans="1:33" s="4" customFormat="1" hidden="1" x14ac:dyDescent="0.25">
      <c r="A89" t="s">
        <v>23</v>
      </c>
      <c r="B89"/>
      <c r="C89"/>
      <c r="D89"/>
      <c r="E89">
        <f>AVERAGE(E84:E88)</f>
        <v>1.48454</v>
      </c>
      <c r="F89">
        <f>AVERAGE(F84:F88)</f>
        <v>1.09762</v>
      </c>
      <c r="G89"/>
      <c r="H89"/>
      <c r="I89"/>
      <c r="J89"/>
      <c r="K89">
        <f t="shared" ref="K89:L89" si="161">AVERAGE(K84:K88)</f>
        <v>0.15973999999999999</v>
      </c>
      <c r="L89">
        <f t="shared" si="161"/>
        <v>0.14957999999999999</v>
      </c>
      <c r="M89"/>
      <c r="N89">
        <f t="shared" ref="N89:O89" si="162">AVERAGE(N84:N88)</f>
        <v>0.67300000000000004</v>
      </c>
      <c r="O89">
        <f t="shared" si="162"/>
        <v>0.59631999999999996</v>
      </c>
      <c r="P89"/>
      <c r="Q89">
        <f t="shared" ref="Q89:R89" si="163">AVERAGE(Q84:Q88)</f>
        <v>0.15923999999999999</v>
      </c>
      <c r="R89">
        <f t="shared" si="163"/>
        <v>0.14375999999999997</v>
      </c>
      <c r="S89"/>
      <c r="T89">
        <f t="shared" ref="T89:U89" si="164">AVERAGE(T84:T88)</f>
        <v>0.67437999999999998</v>
      </c>
      <c r="U89">
        <f t="shared" si="164"/>
        <v>0.59598000000000007</v>
      </c>
      <c r="V89"/>
      <c r="W89">
        <f t="shared" ref="W89:X89" si="165">AVERAGE(W84:W88)</f>
        <v>0.16006000000000001</v>
      </c>
      <c r="X89">
        <f t="shared" si="165"/>
        <v>0.14339999999999997</v>
      </c>
      <c r="Y89"/>
      <c r="Z89">
        <f t="shared" ref="Z89:AA89" si="166">AVERAGE(Z84:Z88)</f>
        <v>0.67300000000000004</v>
      </c>
      <c r="AA89">
        <f t="shared" si="166"/>
        <v>0.59533999999999998</v>
      </c>
      <c r="AB89"/>
      <c r="AC89">
        <f t="shared" ref="AC89:AD89" si="167">AVERAGE(AC84:AC88)</f>
        <v>0.10758000000000001</v>
      </c>
      <c r="AD89">
        <f t="shared" si="167"/>
        <v>9.6879999999999994E-2</v>
      </c>
      <c r="AE89"/>
      <c r="AF89">
        <f t="shared" ref="AF89:AG89" si="168">AVERAGE(AF84:AF88)</f>
        <v>0.99852000000000007</v>
      </c>
      <c r="AG89">
        <f t="shared" si="168"/>
        <v>0.88472000000000006</v>
      </c>
    </row>
    <row r="90" spans="1:33" s="4" customFormat="1" hidden="1" x14ac:dyDescent="0.25">
      <c r="A90" s="4" t="s">
        <v>25</v>
      </c>
      <c r="E90" s="4">
        <f>_xlfn.STDEV.P(E84:E88)</f>
        <v>1.8813250649475748E-2</v>
      </c>
      <c r="F90" s="4">
        <f>_xlfn.STDEV.P(F84:F88)</f>
        <v>1.682550445009005E-2</v>
      </c>
      <c r="K90" s="4">
        <f>_xlfn.STDEV.P(K84:K88)</f>
        <v>1.240322538697092E-3</v>
      </c>
      <c r="L90" s="4">
        <f>_xlfn.STDEV.P(L84:L88)</f>
        <v>1.4105318146004416E-3</v>
      </c>
      <c r="N90" s="4">
        <f t="shared" ref="N90:O90" si="169">_xlfn.STDEV.P(N84:N88)</f>
        <v>1.1558546621439887E-3</v>
      </c>
      <c r="O90" s="4">
        <f t="shared" si="169"/>
        <v>3.0089200720524161E-3</v>
      </c>
      <c r="Q90" s="4">
        <f t="shared" ref="Q90:R90" si="170">_xlfn.STDEV.P(Q84:Q88)</f>
        <v>5.5353410012391789E-4</v>
      </c>
      <c r="R90" s="4">
        <f t="shared" si="170"/>
        <v>7.7097341069585156E-4</v>
      </c>
      <c r="T90" s="4">
        <f t="shared" ref="T90:U90" si="171">_xlfn.STDEV.P(T84:T88)</f>
        <v>1.0067770358922392E-3</v>
      </c>
      <c r="U90" s="4">
        <f t="shared" si="171"/>
        <v>4.4566355022595304E-3</v>
      </c>
      <c r="W90" s="4">
        <f t="shared" ref="W90:X90" si="172">_xlfn.STDEV.P(W84:W88)</f>
        <v>5.7131427428342688E-4</v>
      </c>
      <c r="X90" s="4">
        <f t="shared" si="172"/>
        <v>1.0099504938362086E-3</v>
      </c>
      <c r="Z90" s="4">
        <f t="shared" ref="Z90:AA90" si="173">_xlfn.STDEV.P(Z84:Z88)</f>
        <v>6.3560994328283843E-4</v>
      </c>
      <c r="AA90" s="4">
        <f t="shared" si="173"/>
        <v>3.1903604811996137E-3</v>
      </c>
      <c r="AC90" s="4">
        <f t="shared" ref="AC90:AD90" si="174">_xlfn.STDEV.P(AC84:AC88)</f>
        <v>4.2142615011410835E-4</v>
      </c>
      <c r="AD90" s="4">
        <f t="shared" si="174"/>
        <v>3.9698866482558713E-4</v>
      </c>
      <c r="AF90" s="4">
        <f t="shared" ref="AF90:AG90" si="175">_xlfn.STDEV.P(AF84:AF88)</f>
        <v>1.1160645142643012E-3</v>
      </c>
      <c r="AG90" s="4">
        <f t="shared" si="175"/>
        <v>2.8694250295137362E-3</v>
      </c>
    </row>
    <row r="91" spans="1:33" s="4" customFormat="1" hidden="1" x14ac:dyDescent="0.25">
      <c r="A91" s="4" t="s">
        <v>26</v>
      </c>
      <c r="E91" s="1">
        <f>20*LOG10(E89/E90)</f>
        <v>37.942561244620634</v>
      </c>
      <c r="F91" s="1">
        <f>20*LOG10(F89/F90)</f>
        <v>36.289678360518074</v>
      </c>
      <c r="G91" s="1"/>
      <c r="H91" s="1"/>
      <c r="I91" s="1"/>
      <c r="J91" s="1"/>
      <c r="K91" s="1">
        <f>20*LOG10(K89/K90)</f>
        <v>42.197580889624824</v>
      </c>
      <c r="L91" s="1">
        <f>20*LOG10(L89/L90)</f>
        <v>40.50981285512951</v>
      </c>
      <c r="M91" s="1"/>
      <c r="N91" s="1">
        <f t="shared" ref="N91:O91" si="176">20*LOG10(N89/N90)</f>
        <v>55.30223670308429</v>
      </c>
      <c r="O91" s="1">
        <f t="shared" si="176"/>
        <v>45.941374479399819</v>
      </c>
      <c r="P91" s="1"/>
      <c r="Q91" s="1">
        <f t="shared" ref="Q91:R91" si="177">20*LOG10(Q89/Q90)</f>
        <v>49.178155768635605</v>
      </c>
      <c r="R91" s="1">
        <f t="shared" si="177"/>
        <v>45.411973274493192</v>
      </c>
      <c r="S91" s="1"/>
      <c r="T91" s="1">
        <f t="shared" ref="T91:U91" si="178">20*LOG10(T89/T90)</f>
        <v>56.519427621099751</v>
      </c>
      <c r="U91" s="1">
        <f t="shared" si="178"/>
        <v>42.524491404828169</v>
      </c>
      <c r="V91" s="1"/>
      <c r="W91" s="1">
        <f t="shared" ref="W91:X91" si="179">20*LOG10(W89/W90)</f>
        <v>48.948154750340578</v>
      </c>
      <c r="X91" s="1">
        <f t="shared" si="179"/>
        <v>43.044981309016435</v>
      </c>
      <c r="Y91" s="10"/>
      <c r="Z91" s="1">
        <f t="shared" ref="Z91:AA91" si="180">20*LOG10(Z89/Z90)</f>
        <v>60.496487633373349</v>
      </c>
      <c r="AA91" s="1">
        <f t="shared" si="180"/>
        <v>45.418506120800764</v>
      </c>
      <c r="AB91" s="1"/>
      <c r="AC91" s="1">
        <f t="shared" ref="AC91:AD91" si="181">20*LOG10(AC89/AC90)</f>
        <v>48.140201184490728</v>
      </c>
      <c r="AD91" s="1">
        <f t="shared" si="181"/>
        <v>47.749120471164488</v>
      </c>
      <c r="AE91" s="1"/>
      <c r="AF91" s="1">
        <f t="shared" ref="AF91:AG91" si="182">20*LOG10(AF89/AF90)</f>
        <v>59.033349365552283</v>
      </c>
      <c r="AG91" s="1">
        <f t="shared" si="182"/>
        <v>49.780219255760521</v>
      </c>
    </row>
    <row r="92" spans="1:33" s="3" customFormat="1" hidden="1" x14ac:dyDescent="0.25">
      <c r="A92" s="11" t="s">
        <v>24</v>
      </c>
      <c r="E92" s="6">
        <f>(0.000528068)*2*1000</f>
        <v>1.056136</v>
      </c>
      <c r="F92" s="6">
        <f>(0.000527585)*2*1000</f>
        <v>1.0551699999999999</v>
      </c>
      <c r="G92" s="6"/>
      <c r="H92" s="6"/>
      <c r="I92" s="6"/>
      <c r="J92" s="6"/>
      <c r="K92" s="6">
        <v>0.1832</v>
      </c>
      <c r="L92" s="6">
        <v>0.18310000000000001</v>
      </c>
      <c r="M92" s="6"/>
      <c r="N92" s="6">
        <v>0.70809999999999995</v>
      </c>
      <c r="O92" s="6">
        <v>0.70750000000000002</v>
      </c>
      <c r="P92" s="6"/>
      <c r="Q92" s="6">
        <v>0.1832</v>
      </c>
      <c r="R92" s="6">
        <v>0.18310000000000001</v>
      </c>
      <c r="S92" s="6"/>
      <c r="T92" s="6">
        <v>0.70809999999999995</v>
      </c>
      <c r="U92" s="6">
        <v>0.70750000000000002</v>
      </c>
      <c r="V92" s="6"/>
      <c r="W92" s="6">
        <v>0.1832</v>
      </c>
      <c r="X92" s="6">
        <v>0.18310000000000001</v>
      </c>
      <c r="Y92" s="6"/>
      <c r="Z92" s="6">
        <v>0.70809999999999995</v>
      </c>
      <c r="AA92" s="6">
        <v>0.70750000000000002</v>
      </c>
      <c r="AB92" s="6"/>
      <c r="AC92" s="6">
        <v>0.13200000000000001</v>
      </c>
      <c r="AD92" s="6">
        <v>0.13189999999999999</v>
      </c>
      <c r="AE92" s="16"/>
      <c r="AF92" s="16">
        <v>1.0671999999999999</v>
      </c>
      <c r="AG92" s="16">
        <v>1.0662</v>
      </c>
    </row>
    <row r="93" spans="1:33" s="5" customFormat="1" hidden="1" x14ac:dyDescent="0.25">
      <c r="A93" s="5" t="s">
        <v>58</v>
      </c>
      <c r="K93" s="17">
        <f>K89/$E$89</f>
        <v>0.10760235493823002</v>
      </c>
      <c r="L93" s="17">
        <f>L89/$F$89</f>
        <v>0.13627667134345217</v>
      </c>
      <c r="N93" s="17">
        <f>N89/$E$89</f>
        <v>0.45333908146631285</v>
      </c>
      <c r="O93" s="17">
        <f>O89/$F$89</f>
        <v>0.54328456114137857</v>
      </c>
      <c r="Q93" s="17">
        <f>Q89/$E$89</f>
        <v>0.10726555027146456</v>
      </c>
      <c r="R93" s="17">
        <f>R89/$F$89</f>
        <v>0.13097428982708037</v>
      </c>
      <c r="T93" s="17">
        <f>T89/$E$89</f>
        <v>0.45426866234658547</v>
      </c>
      <c r="U93" s="17">
        <f>U89/$F$89</f>
        <v>0.54297480002186549</v>
      </c>
      <c r="W93" s="17">
        <f>W89/$E$89</f>
        <v>0.10781790992495993</v>
      </c>
      <c r="X93" s="17">
        <f>X89/$F$89</f>
        <v>0.13064630746524294</v>
      </c>
      <c r="Z93" s="17">
        <f>Z89/$E$89</f>
        <v>0.45333908146631285</v>
      </c>
      <c r="AA93" s="17">
        <f>AA89/$F$89</f>
        <v>0.54239172026748783</v>
      </c>
      <c r="AC93" s="17">
        <f>AC89/$E$89</f>
        <v>7.2466892101256966E-2</v>
      </c>
      <c r="AD93" s="17">
        <f>AD89/$F$89</f>
        <v>8.8263697818917283E-2</v>
      </c>
      <c r="AF93" s="17">
        <f>AF89/$E$89</f>
        <v>0.6726123917172997</v>
      </c>
      <c r="AG93" s="17">
        <f>AG89/$F$89</f>
        <v>0.80603487545780872</v>
      </c>
    </row>
    <row r="94" spans="1:33" s="5" customFormat="1" hidden="1" x14ac:dyDescent="0.25">
      <c r="A94" s="5" t="s">
        <v>59</v>
      </c>
      <c r="K94" s="17">
        <f>K92/$E$92</f>
        <v>0.17346250861631457</v>
      </c>
      <c r="L94" s="17">
        <f>L92/$F$92</f>
        <v>0.17352654074698867</v>
      </c>
      <c r="N94" s="17">
        <f>N92/$E$92</f>
        <v>0.67046289493019839</v>
      </c>
      <c r="O94" s="17">
        <f>O92/$F$92</f>
        <v>0.67050806978970223</v>
      </c>
      <c r="Q94" s="17">
        <f>Q92/$E$92</f>
        <v>0.17346250861631457</v>
      </c>
      <c r="R94" s="17">
        <f>R92/$F$92</f>
        <v>0.17352654074698867</v>
      </c>
      <c r="T94" s="17">
        <f>T92/$E$92</f>
        <v>0.67046289493019839</v>
      </c>
      <c r="U94" s="17">
        <f>U92/$F$92</f>
        <v>0.67050806978970223</v>
      </c>
      <c r="W94" s="17">
        <f>W92/$E$92</f>
        <v>0.17346250861631457</v>
      </c>
      <c r="X94" s="17">
        <f>X92/$F$92</f>
        <v>0.17352654074698867</v>
      </c>
      <c r="Z94" s="17">
        <f>Z92/$E$92</f>
        <v>0.67046289493019839</v>
      </c>
      <c r="AA94" s="17">
        <f>AA92/$F$92</f>
        <v>0.67050806978970223</v>
      </c>
      <c r="AC94" s="17">
        <f>AC92/$E$92</f>
        <v>0.12498390358817427</v>
      </c>
      <c r="AD94" s="17">
        <f>AD92/$F$92</f>
        <v>0.12500355392969853</v>
      </c>
      <c r="AF94" s="17">
        <f>AF92/$E$92</f>
        <v>1.0104759235552996</v>
      </c>
      <c r="AG94" s="17">
        <f>AG92/$F$92</f>
        <v>1.0104532918866156</v>
      </c>
    </row>
    <row r="95" spans="1:33" hidden="1" x14ac:dyDescent="0.25">
      <c r="A95" s="5" t="s">
        <v>30</v>
      </c>
      <c r="B95" s="5"/>
      <c r="C95" s="5"/>
      <c r="D95" s="5"/>
      <c r="E95" s="5"/>
      <c r="F95" s="5">
        <f>1-((ABS(F92-F89))/F89)</f>
        <v>0.96132541316666964</v>
      </c>
      <c r="G95" s="5"/>
      <c r="H95" s="5"/>
      <c r="I95" s="5"/>
      <c r="J95" s="5"/>
      <c r="K95" s="5">
        <f>1-((ABS(K93-K94))/K94)</f>
        <v>0.62032052802970794</v>
      </c>
      <c r="L95" s="5">
        <f t="shared" ref="L95" si="183">1-((ABS(L93-L94))/L94)</f>
        <v>0.78533618406046091</v>
      </c>
      <c r="M95" s="5"/>
      <c r="N95" s="5">
        <f>1-((ABS(N93-N94))/N94)</f>
        <v>0.67615834506920747</v>
      </c>
      <c r="O95" s="5">
        <f t="shared" ref="O95" si="184">1-((ABS(O93-O94))/O94)</f>
        <v>0.8102580500064287</v>
      </c>
      <c r="P95" s="5"/>
      <c r="Q95" s="5">
        <f>1-((ABS(Q93-Q94))/Q94)</f>
        <v>0.61837887118724622</v>
      </c>
      <c r="R95" s="5">
        <f t="shared" ref="R95" si="185">1-((ABS(R93-R94))/R94)</f>
        <v>0.75477958163211556</v>
      </c>
      <c r="S95" s="5"/>
      <c r="T95" s="5">
        <f>1-((ABS(T93-T94))/T94)</f>
        <v>0.67754482131912641</v>
      </c>
      <c r="U95" s="5">
        <f t="shared" ref="U95" si="186">1-((ABS(U93-U94))/U94)</f>
        <v>0.80979607030257483</v>
      </c>
      <c r="V95" s="5"/>
      <c r="W95" s="5">
        <f>1-((ABS(W93-W94))/W94)</f>
        <v>0.62156318840888369</v>
      </c>
      <c r="X95" s="5">
        <f t="shared" ref="X95" si="187">1-((ABS(X93-X94))/X94)</f>
        <v>0.75288948251283649</v>
      </c>
      <c r="Y95" s="5"/>
      <c r="Z95" s="5">
        <f>1-((ABS(Z93-Z94))/Z94)</f>
        <v>0.67615834506920747</v>
      </c>
      <c r="AA95" s="5">
        <f t="shared" ref="AA95" si="188">1-((ABS(AA93-AA94))/AA94)</f>
        <v>0.80892646144826152</v>
      </c>
      <c r="AB95" s="5"/>
      <c r="AC95" s="5">
        <f>1-((ABS(AC93-AC94))/AC94)</f>
        <v>0.57980979966858426</v>
      </c>
      <c r="AD95" s="5">
        <f t="shared" ref="AD95" si="189">1-((ABS(AD93-AD94))/AD94)</f>
        <v>0.70608950741157661</v>
      </c>
      <c r="AE95" s="5"/>
      <c r="AF95" s="5">
        <f>1-((ABS(AF93-AF94))/AF94)</f>
        <v>0.66563920627693229</v>
      </c>
      <c r="AG95" s="5">
        <f t="shared" ref="AG95" si="190">1-((ABS(AG93-AG94))/AG94)</f>
        <v>0.79769632295705861</v>
      </c>
    </row>
    <row r="96" spans="1:33" hidden="1" x14ac:dyDescent="0.25"/>
    <row r="97" spans="1:33" hidden="1" x14ac:dyDescent="0.25">
      <c r="A97" s="12" t="s">
        <v>22</v>
      </c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 spans="1:33" hidden="1" x14ac:dyDescent="0.25">
      <c r="B98" cm="1">
        <f t="array" ref="B98:AG102">_xlfn._xlws.FILTER('Dado Bruto'!A:AF, ('Dado Bruto'!A:A=17) + ('Dado Bruto'!A:A=37) + ('Dado Bruto'!A:A=57)+ ('Dado Bruto'!A:A=77)+ ('Dado Bruto'!A:A=97), "Não encontrado")</f>
        <v>17</v>
      </c>
      <c r="C98" t="str">
        <v>-&gt;</v>
      </c>
      <c r="D98" t="str">
        <v>E91</v>
      </c>
      <c r="E98">
        <v>1.4984999999999999</v>
      </c>
      <c r="F98">
        <v>1.0746</v>
      </c>
      <c r="G98" t="str">
        <v>E92</v>
      </c>
      <c r="H98">
        <v>0</v>
      </c>
      <c r="I98">
        <v>0</v>
      </c>
      <c r="J98" t="str">
        <v>E0</v>
      </c>
      <c r="K98">
        <v>1.0620000000000001</v>
      </c>
      <c r="L98">
        <v>0.94</v>
      </c>
      <c r="M98" t="str">
        <v>E1</v>
      </c>
      <c r="N98">
        <v>0.45710000000000001</v>
      </c>
      <c r="O98">
        <v>0.40670000000000001</v>
      </c>
      <c r="P98" t="str">
        <v>E2</v>
      </c>
      <c r="Q98">
        <v>0.95379999999999998</v>
      </c>
      <c r="R98">
        <v>0.84450000000000003</v>
      </c>
      <c r="S98" t="str">
        <v>E3</v>
      </c>
      <c r="T98">
        <v>0.45739999999999997</v>
      </c>
      <c r="U98">
        <v>0.40660000000000002</v>
      </c>
      <c r="V98" t="str">
        <v>E4</v>
      </c>
      <c r="W98">
        <v>0.9627</v>
      </c>
      <c r="X98">
        <v>0.85329999999999995</v>
      </c>
      <c r="Y98" t="str">
        <v>E5</v>
      </c>
      <c r="Z98">
        <v>0.45729999999999998</v>
      </c>
      <c r="AA98">
        <v>0.40570000000000001</v>
      </c>
      <c r="AB98" t="str">
        <v>E6</v>
      </c>
      <c r="AC98">
        <v>0.96020000000000005</v>
      </c>
      <c r="AD98">
        <v>0.85119999999999996</v>
      </c>
      <c r="AE98" t="str">
        <v>E7</v>
      </c>
      <c r="AF98">
        <v>0.1057</v>
      </c>
      <c r="AG98">
        <v>9.5000000000000001E-2</v>
      </c>
    </row>
    <row r="99" spans="1:33" hidden="1" x14ac:dyDescent="0.25">
      <c r="B99">
        <v>37</v>
      </c>
      <c r="C99" t="str">
        <v>-&gt;</v>
      </c>
      <c r="D99" t="str">
        <v>E91</v>
      </c>
      <c r="E99">
        <v>1.5215000000000001</v>
      </c>
      <c r="F99">
        <v>1.0703</v>
      </c>
      <c r="G99" t="str">
        <v>E92</v>
      </c>
      <c r="H99">
        <v>0</v>
      </c>
      <c r="I99">
        <v>0</v>
      </c>
      <c r="J99" t="str">
        <v>E0</v>
      </c>
      <c r="K99">
        <v>1.0626</v>
      </c>
      <c r="L99">
        <v>0.94</v>
      </c>
      <c r="M99" t="str">
        <v>E1</v>
      </c>
      <c r="N99">
        <v>0.45639999999999997</v>
      </c>
      <c r="O99">
        <v>0.40570000000000001</v>
      </c>
      <c r="P99" t="str">
        <v>E2</v>
      </c>
      <c r="Q99">
        <v>0.95569999999999999</v>
      </c>
      <c r="R99">
        <v>0.8468</v>
      </c>
      <c r="S99" t="str">
        <v>E3</v>
      </c>
      <c r="T99">
        <v>0.45810000000000001</v>
      </c>
      <c r="U99">
        <v>0.40620000000000001</v>
      </c>
      <c r="V99" t="str">
        <v>E4</v>
      </c>
      <c r="W99">
        <v>0.96409999999999996</v>
      </c>
      <c r="X99">
        <v>0.85540000000000005</v>
      </c>
      <c r="Y99" t="str">
        <v>E5</v>
      </c>
      <c r="Z99">
        <v>0.45679999999999998</v>
      </c>
      <c r="AA99">
        <v>0.40579999999999999</v>
      </c>
      <c r="AB99" t="str">
        <v>E6</v>
      </c>
      <c r="AC99">
        <v>0.95420000000000005</v>
      </c>
      <c r="AD99">
        <v>0.84499999999999997</v>
      </c>
      <c r="AE99" t="str">
        <v>E7</v>
      </c>
      <c r="AF99">
        <v>0.1057</v>
      </c>
      <c r="AG99">
        <v>9.5000000000000001E-2</v>
      </c>
    </row>
    <row r="100" spans="1:33" hidden="1" x14ac:dyDescent="0.25">
      <c r="B100">
        <v>57</v>
      </c>
      <c r="C100" t="str">
        <v>-&gt;</v>
      </c>
      <c r="D100" t="str">
        <v>E91</v>
      </c>
      <c r="E100">
        <v>1.5238</v>
      </c>
      <c r="F100">
        <v>1.0648</v>
      </c>
      <c r="G100" t="str">
        <v>E92</v>
      </c>
      <c r="H100">
        <v>0</v>
      </c>
      <c r="I100">
        <v>0</v>
      </c>
      <c r="J100" t="str">
        <v>E0</v>
      </c>
      <c r="K100">
        <v>1.0668</v>
      </c>
      <c r="L100">
        <v>0.94269999999999998</v>
      </c>
      <c r="M100" t="str">
        <v>E1</v>
      </c>
      <c r="N100">
        <v>0.45669999999999999</v>
      </c>
      <c r="O100">
        <v>0.40639999999999998</v>
      </c>
      <c r="P100" t="str">
        <v>E2</v>
      </c>
      <c r="Q100">
        <v>0.95860000000000001</v>
      </c>
      <c r="R100">
        <v>0.84950000000000003</v>
      </c>
      <c r="S100" t="str">
        <v>E3</v>
      </c>
      <c r="T100">
        <v>0.45729999999999998</v>
      </c>
      <c r="U100">
        <v>0.40720000000000001</v>
      </c>
      <c r="V100" t="str">
        <v>E4</v>
      </c>
      <c r="W100">
        <v>0.95679999999999998</v>
      </c>
      <c r="X100">
        <v>0.84699999999999998</v>
      </c>
      <c r="Y100" t="str">
        <v>E5</v>
      </c>
      <c r="Z100">
        <v>0.46529999999999999</v>
      </c>
      <c r="AA100">
        <v>0.41449999999999998</v>
      </c>
      <c r="AB100" t="str">
        <v>E6</v>
      </c>
      <c r="AC100">
        <v>0.95640000000000003</v>
      </c>
      <c r="AD100">
        <v>0.84889999999999999</v>
      </c>
      <c r="AE100" t="str">
        <v>E7</v>
      </c>
      <c r="AF100">
        <v>0.1042</v>
      </c>
      <c r="AG100">
        <v>9.5100000000000004E-2</v>
      </c>
    </row>
    <row r="101" spans="1:33" hidden="1" x14ac:dyDescent="0.25">
      <c r="B101">
        <v>77</v>
      </c>
      <c r="C101" t="str">
        <v>-&gt;</v>
      </c>
      <c r="D101" t="str">
        <v>E91</v>
      </c>
      <c r="E101">
        <v>1.5234000000000001</v>
      </c>
      <c r="F101">
        <v>1.0625</v>
      </c>
      <c r="G101" t="str">
        <v>E92</v>
      </c>
      <c r="H101">
        <v>0</v>
      </c>
      <c r="I101">
        <v>0</v>
      </c>
      <c r="J101" t="str">
        <v>E0</v>
      </c>
      <c r="K101">
        <v>1.0633999999999999</v>
      </c>
      <c r="L101">
        <v>0.93979999999999997</v>
      </c>
      <c r="M101" t="str">
        <v>E1</v>
      </c>
      <c r="N101">
        <v>0.45689999999999997</v>
      </c>
      <c r="O101">
        <v>0.40720000000000001</v>
      </c>
      <c r="P101" t="str">
        <v>E2</v>
      </c>
      <c r="Q101">
        <v>0.96089999999999998</v>
      </c>
      <c r="R101">
        <v>0.85450000000000004</v>
      </c>
      <c r="S101" t="str">
        <v>E3</v>
      </c>
      <c r="T101">
        <v>0.45650000000000002</v>
      </c>
      <c r="U101">
        <v>0.40739999999999998</v>
      </c>
      <c r="V101" t="str">
        <v>E4</v>
      </c>
      <c r="W101">
        <v>0.96240000000000003</v>
      </c>
      <c r="X101">
        <v>0.85470000000000002</v>
      </c>
      <c r="Y101" t="str">
        <v>E5</v>
      </c>
      <c r="Z101">
        <v>0.45579999999999998</v>
      </c>
      <c r="AA101">
        <v>0.40539999999999998</v>
      </c>
      <c r="AB101" t="str">
        <v>E6</v>
      </c>
      <c r="AC101">
        <v>0.96130000000000004</v>
      </c>
      <c r="AD101">
        <v>0.85270000000000001</v>
      </c>
      <c r="AE101" t="str">
        <v>E7</v>
      </c>
      <c r="AF101">
        <v>0.10780000000000001</v>
      </c>
      <c r="AG101">
        <v>9.9699999999999997E-2</v>
      </c>
    </row>
    <row r="102" spans="1:33" hidden="1" x14ac:dyDescent="0.25">
      <c r="B102">
        <v>97</v>
      </c>
      <c r="C102" t="str">
        <v>-&gt;</v>
      </c>
      <c r="D102" t="str">
        <v>E91</v>
      </c>
      <c r="E102">
        <v>1.5186999999999999</v>
      </c>
      <c r="F102">
        <v>1.0662</v>
      </c>
      <c r="G102" t="str">
        <v>E92</v>
      </c>
      <c r="H102">
        <v>0</v>
      </c>
      <c r="I102">
        <v>0</v>
      </c>
      <c r="J102" t="str">
        <v>E0</v>
      </c>
      <c r="K102">
        <v>1.0722</v>
      </c>
      <c r="L102">
        <v>0.94120000000000004</v>
      </c>
      <c r="M102" t="str">
        <v>E1</v>
      </c>
      <c r="N102">
        <v>0.45700000000000002</v>
      </c>
      <c r="O102">
        <v>0.40639999999999998</v>
      </c>
      <c r="P102" t="str">
        <v>E2</v>
      </c>
      <c r="Q102">
        <v>0.96130000000000004</v>
      </c>
      <c r="R102">
        <v>0.85289999999999999</v>
      </c>
      <c r="S102" t="str">
        <v>E3</v>
      </c>
      <c r="T102">
        <v>0.45779999999999998</v>
      </c>
      <c r="U102">
        <v>0.40710000000000002</v>
      </c>
      <c r="V102" t="str">
        <v>E4</v>
      </c>
      <c r="W102">
        <v>0.95660000000000001</v>
      </c>
      <c r="X102">
        <v>0.84640000000000004</v>
      </c>
      <c r="Y102" t="str">
        <v>E5</v>
      </c>
      <c r="Z102">
        <v>0.45739999999999997</v>
      </c>
      <c r="AA102">
        <v>0.40570000000000001</v>
      </c>
      <c r="AB102" t="str">
        <v>E6</v>
      </c>
      <c r="AC102">
        <v>0.96060000000000001</v>
      </c>
      <c r="AD102">
        <v>0.85189999999999999</v>
      </c>
      <c r="AE102" t="str">
        <v>E7</v>
      </c>
      <c r="AF102">
        <v>0.10580000000000001</v>
      </c>
      <c r="AG102">
        <v>9.4200000000000006E-2</v>
      </c>
    </row>
    <row r="103" spans="1:33" s="4" customFormat="1" hidden="1" x14ac:dyDescent="0.25">
      <c r="A103" t="s">
        <v>23</v>
      </c>
      <c r="B103"/>
      <c r="C103"/>
      <c r="D103"/>
      <c r="E103">
        <f>AVERAGE(E98:E102)</f>
        <v>1.51718</v>
      </c>
      <c r="F103">
        <f>AVERAGE(F98:F102)</f>
        <v>1.06768</v>
      </c>
      <c r="G103"/>
      <c r="H103"/>
      <c r="I103"/>
      <c r="J103"/>
      <c r="K103">
        <f t="shared" ref="K103:AG103" si="191">AVERAGE(K98:K102)</f>
        <v>1.0653999999999999</v>
      </c>
      <c r="L103">
        <f t="shared" si="191"/>
        <v>0.94073999999999991</v>
      </c>
      <c r="M103"/>
      <c r="N103">
        <f t="shared" ref="N103:AG103" si="192">AVERAGE(N98:N102)</f>
        <v>0.45682</v>
      </c>
      <c r="O103">
        <f t="shared" si="192"/>
        <v>0.40648000000000001</v>
      </c>
      <c r="P103"/>
      <c r="Q103">
        <f t="shared" ref="Q103:AG103" si="193">AVERAGE(Q98:Q102)</f>
        <v>0.95806000000000002</v>
      </c>
      <c r="R103">
        <f t="shared" si="193"/>
        <v>0.84963999999999995</v>
      </c>
      <c r="S103"/>
      <c r="T103">
        <f t="shared" ref="T103:AG103" si="194">AVERAGE(T98:T102)</f>
        <v>0.45741999999999994</v>
      </c>
      <c r="U103">
        <f t="shared" si="194"/>
        <v>0.40689999999999998</v>
      </c>
      <c r="V103"/>
      <c r="W103">
        <f t="shared" ref="W103:AG103" si="195">AVERAGE(W98:W102)</f>
        <v>0.96052000000000004</v>
      </c>
      <c r="X103">
        <f t="shared" si="195"/>
        <v>0.85136000000000001</v>
      </c>
      <c r="Y103"/>
      <c r="Z103">
        <f t="shared" ref="Z103:AG103" si="196">AVERAGE(Z98:Z102)</f>
        <v>0.45851999999999993</v>
      </c>
      <c r="AA103">
        <f t="shared" si="196"/>
        <v>0.40742</v>
      </c>
      <c r="AB103"/>
      <c r="AC103">
        <f t="shared" ref="AC103:AG103" si="197">AVERAGE(AC98:AC102)</f>
        <v>0.95853999999999995</v>
      </c>
      <c r="AD103">
        <f t="shared" si="197"/>
        <v>0.84993999999999992</v>
      </c>
      <c r="AE103"/>
      <c r="AF103">
        <f t="shared" ref="AF103:AG103" si="198">AVERAGE(AF98:AF102)</f>
        <v>0.10584</v>
      </c>
      <c r="AG103">
        <f t="shared" si="198"/>
        <v>9.580000000000001E-2</v>
      </c>
    </row>
    <row r="104" spans="1:33" s="4" customFormat="1" hidden="1" x14ac:dyDescent="0.25">
      <c r="A104" s="4" t="s">
        <v>25</v>
      </c>
      <c r="E104" s="4">
        <f>_xlfn.STDEV.P(E98:E102)</f>
        <v>9.5123919179142761E-3</v>
      </c>
      <c r="F104" s="4">
        <f>_xlfn.STDEV.P(F98:F102)</f>
        <v>4.2911070832595223E-3</v>
      </c>
      <c r="K104" s="4">
        <f>_xlfn.STDEV.P(K98:K102)</f>
        <v>3.7841775856849156E-3</v>
      </c>
      <c r="L104" s="4">
        <f>_xlfn.STDEV.P(L98:L102)</f>
        <v>1.0983624174196948E-3</v>
      </c>
      <c r="N104" s="4">
        <f t="shared" ref="N104:AG104" si="199">_xlfn.STDEV.P(N98:N102)</f>
        <v>2.4819347291982918E-4</v>
      </c>
      <c r="O104" s="4">
        <f t="shared" si="199"/>
        <v>4.8744230427815951E-4</v>
      </c>
      <c r="Q104" s="4">
        <f t="shared" ref="Q104:AG104" si="200">_xlfn.STDEV.P(Q98:Q102)</f>
        <v>2.9179444819941434E-3</v>
      </c>
      <c r="R104" s="4">
        <f t="shared" si="200"/>
        <v>3.7081531791445729E-3</v>
      </c>
      <c r="T104" s="4">
        <f t="shared" ref="T104:AG104" si="201">_xlfn.STDEV.P(T98:T102)</f>
        <v>5.4184868736575746E-4</v>
      </c>
      <c r="U104" s="4">
        <f t="shared" si="201"/>
        <v>4.3817804600412776E-4</v>
      </c>
      <c r="W104" s="4">
        <f t="shared" ref="W104:AG104" si="202">_xlfn.STDEV.P(W98:W102)</f>
        <v>3.1720025220670894E-3</v>
      </c>
      <c r="X104" s="4">
        <f t="shared" si="202"/>
        <v>3.869160115580644E-3</v>
      </c>
      <c r="Z104" s="4">
        <f t="shared" ref="Z104:AG104" si="203">_xlfn.STDEV.P(Z98:Z102)</f>
        <v>3.4370917939444134E-3</v>
      </c>
      <c r="AA104" s="4">
        <f t="shared" si="203"/>
        <v>3.5425414605901166E-3</v>
      </c>
      <c r="AC104" s="4">
        <f t="shared" ref="AC104:AG104" si="204">_xlfn.STDEV.P(AC98:AC102)</f>
        <v>2.7579702681501091E-3</v>
      </c>
      <c r="AD104" s="4">
        <f t="shared" si="204"/>
        <v>2.7760403455281486E-3</v>
      </c>
      <c r="AF104" s="4">
        <f t="shared" ref="AF104:AG104" si="205">_xlfn.STDEV.P(AF98:AF102)</f>
        <v>1.1464728518373231E-3</v>
      </c>
      <c r="AG104" s="4">
        <f t="shared" si="205"/>
        <v>1.9768662069042479E-3</v>
      </c>
    </row>
    <row r="105" spans="1:33" hidden="1" x14ac:dyDescent="0.25">
      <c r="A105" s="4" t="s">
        <v>26</v>
      </c>
      <c r="B105" s="4"/>
      <c r="C105" s="4"/>
      <c r="D105" s="4"/>
      <c r="E105" s="1">
        <f>20*LOG10(E103/E104)</f>
        <v>44.054947475954421</v>
      </c>
      <c r="F105" s="1">
        <f>20*LOG10(F103/F104)</f>
        <v>47.917435103067334</v>
      </c>
      <c r="G105" s="1"/>
      <c r="H105" s="1"/>
      <c r="I105" s="1"/>
      <c r="J105" s="1"/>
      <c r="K105" s="1">
        <f>20*LOG10(K103/K104)</f>
        <v>48.990823669257814</v>
      </c>
      <c r="L105" s="1">
        <f>20*LOG10(L103/L104)</f>
        <v>58.654478924676027</v>
      </c>
      <c r="M105" s="1"/>
      <c r="N105" s="1">
        <f t="shared" ref="N105:AG105" si="206">20*LOG10(N103/N104)</f>
        <v>65.299095067677584</v>
      </c>
      <c r="O105" s="1">
        <f t="shared" si="206"/>
        <v>58.422319274953196</v>
      </c>
      <c r="P105" s="1"/>
      <c r="Q105" s="1">
        <f t="shared" ref="Q105:AG105" si="207">20*LOG10(Q103/Q104)</f>
        <v>50.326313674544849</v>
      </c>
      <c r="R105" s="1">
        <f t="shared" si="207"/>
        <v>47.201545685273551</v>
      </c>
      <c r="S105" s="1"/>
      <c r="T105" s="1">
        <f t="shared" ref="T105:AG105" si="208">20*LOG10(T103/T104)</f>
        <v>58.528742478708786</v>
      </c>
      <c r="U105" s="1">
        <f t="shared" si="208"/>
        <v>59.356741510030311</v>
      </c>
      <c r="V105" s="1"/>
      <c r="W105" s="1">
        <f t="shared" ref="W105:AG105" si="209">20*LOG10(W103/W104)</f>
        <v>49.623457764820024</v>
      </c>
      <c r="X105" s="1">
        <f t="shared" si="209"/>
        <v>46.849930785783002</v>
      </c>
      <c r="Y105" s="10"/>
      <c r="Z105" s="1">
        <f t="shared" ref="Z105:AA105" si="210">20*LOG10(Z103/Z104)</f>
        <v>42.503343056001867</v>
      </c>
      <c r="AA105" s="1">
        <f t="shared" si="210"/>
        <v>41.214548053375559</v>
      </c>
      <c r="AB105" s="1"/>
      <c r="AC105" s="1">
        <f t="shared" ref="AC105:AG105" si="211">20*LOG10(AC103/AC104)</f>
        <v>50.820413214678346</v>
      </c>
      <c r="AD105" s="1">
        <f t="shared" si="211"/>
        <v>49.71924989824263</v>
      </c>
      <c r="AE105" s="1"/>
      <c r="AF105" s="1">
        <f t="shared" ref="AF105:AG105" si="212">20*LOG10(AF103/AF104)</f>
        <v>39.305721119318818</v>
      </c>
      <c r="AG105" s="1">
        <f t="shared" si="212"/>
        <v>33.707764631103544</v>
      </c>
    </row>
    <row r="106" spans="1:33" s="3" customFormat="1" hidden="1" x14ac:dyDescent="0.25">
      <c r="A106" s="11" t="s">
        <v>24</v>
      </c>
      <c r="E106" s="6">
        <f>(0.000527969)*2*1000</f>
        <v>1.055938</v>
      </c>
      <c r="F106" s="6">
        <f>(0.000527536)*2*1000</f>
        <v>1.055072</v>
      </c>
      <c r="G106" s="6"/>
      <c r="H106" s="6"/>
      <c r="I106" s="6"/>
      <c r="J106" s="6"/>
      <c r="K106" s="6">
        <v>1.1895</v>
      </c>
      <c r="L106" s="6">
        <v>1.1884999999999999</v>
      </c>
      <c r="M106" s="6"/>
      <c r="N106" s="6">
        <v>0.49099999999999999</v>
      </c>
      <c r="O106" s="6">
        <v>0.49059999999999998</v>
      </c>
      <c r="P106" s="6"/>
      <c r="Q106" s="6">
        <v>1.0158</v>
      </c>
      <c r="R106" s="6">
        <v>1.0149999999999999</v>
      </c>
      <c r="S106" s="6"/>
      <c r="T106" s="6">
        <v>0.49099999999999999</v>
      </c>
      <c r="U106" s="6">
        <v>0.49059999999999998</v>
      </c>
      <c r="V106" s="6"/>
      <c r="W106" s="6">
        <v>1.0158</v>
      </c>
      <c r="X106" s="6">
        <v>1.0149999999999999</v>
      </c>
      <c r="Y106" s="6"/>
      <c r="Z106" s="6">
        <v>0.49099999999999999</v>
      </c>
      <c r="AA106" s="6">
        <v>0.49059999999999998</v>
      </c>
      <c r="AB106" s="6"/>
      <c r="AC106" s="6">
        <v>1.0158</v>
      </c>
      <c r="AD106" s="6">
        <v>1.0149999999999999</v>
      </c>
      <c r="AE106" s="16"/>
      <c r="AF106" s="6">
        <v>0.13200000000000001</v>
      </c>
      <c r="AG106" s="6">
        <v>0.13189999999999999</v>
      </c>
    </row>
    <row r="107" spans="1:33" s="5" customFormat="1" hidden="1" x14ac:dyDescent="0.25">
      <c r="A107" s="5" t="s">
        <v>58</v>
      </c>
      <c r="K107" s="17">
        <f>K103/$E$103</f>
        <v>0.70222386269262704</v>
      </c>
      <c r="L107" s="17">
        <f>L103/$F$103</f>
        <v>0.88110669863629543</v>
      </c>
      <c r="N107" s="17">
        <f>N103/$E$103</f>
        <v>0.30109808987727232</v>
      </c>
      <c r="O107" s="17">
        <f>O103/$F$103</f>
        <v>0.38071332234377342</v>
      </c>
      <c r="Q107" s="17">
        <f>Q103/$E$103</f>
        <v>0.63147418236465025</v>
      </c>
      <c r="R107" s="17">
        <f>R103/$F$103</f>
        <v>0.79578150756781052</v>
      </c>
      <c r="T107" s="17">
        <f>T103/$E$103</f>
        <v>0.30149356042130793</v>
      </c>
      <c r="U107" s="17">
        <f>U103/$F$103</f>
        <v>0.38110669863629554</v>
      </c>
      <c r="W107" s="17">
        <f>W103/$E$103</f>
        <v>0.63309561159519634</v>
      </c>
      <c r="X107" s="17">
        <f>X103/$F$103</f>
        <v>0.79739247714671069</v>
      </c>
      <c r="Z107" s="17">
        <f>Z103/$E$103</f>
        <v>0.30221858975203991</v>
      </c>
      <c r="AA107" s="17">
        <f>AA103/$F$103</f>
        <v>0.38159373595084672</v>
      </c>
      <c r="AC107" s="17">
        <f>AC103/$E$103</f>
        <v>0.63179055879987867</v>
      </c>
      <c r="AD107" s="17">
        <f>AD103/$F$103</f>
        <v>0.79606249063389778</v>
      </c>
      <c r="AF107" s="17">
        <f>AF103/$E$103</f>
        <v>6.97610039678878E-2</v>
      </c>
      <c r="AG107" s="17">
        <f>AG103/$F$103</f>
        <v>8.9727259103851348E-2</v>
      </c>
    </row>
    <row r="108" spans="1:33" s="5" customFormat="1" hidden="1" x14ac:dyDescent="0.25">
      <c r="A108" s="5" t="s">
        <v>59</v>
      </c>
      <c r="K108" s="17">
        <f>K106/$E$106</f>
        <v>1.1264865929628443</v>
      </c>
      <c r="L108" s="17">
        <f>L106/$F$106</f>
        <v>1.1264634072366624</v>
      </c>
      <c r="N108" s="17">
        <f>N106/$E$106</f>
        <v>0.46498942172741198</v>
      </c>
      <c r="O108" s="17">
        <f>O106/$F$106</f>
        <v>0.46499196263382969</v>
      </c>
      <c r="Q108" s="17">
        <f>Q106/$E$106</f>
        <v>0.96198829855540757</v>
      </c>
      <c r="R108" s="17">
        <f>R106/$F$106</f>
        <v>0.96201965363501252</v>
      </c>
      <c r="T108" s="17">
        <f>T106/$E$106</f>
        <v>0.46498942172741198</v>
      </c>
      <c r="U108" s="17">
        <f>U106/$F$106</f>
        <v>0.46499196263382969</v>
      </c>
      <c r="W108" s="17">
        <f>W106/$E$106</f>
        <v>0.96198829855540757</v>
      </c>
      <c r="X108" s="17">
        <f>X106/$F$106</f>
        <v>0.96201965363501252</v>
      </c>
      <c r="Z108" s="17">
        <f>Z106/$E$106</f>
        <v>0.46498942172741198</v>
      </c>
      <c r="AA108" s="17">
        <f>AA106/$F$106</f>
        <v>0.46499196263382969</v>
      </c>
      <c r="AC108" s="17">
        <f>AC106/$E$106</f>
        <v>0.96198829855540757</v>
      </c>
      <c r="AD108" s="17">
        <f>AD106/$F$106</f>
        <v>0.96201965363501252</v>
      </c>
      <c r="AF108" s="17">
        <f>AF106/$E$106</f>
        <v>0.12500733944606596</v>
      </c>
      <c r="AG108" s="17">
        <f>AG106/$F$106</f>
        <v>0.1250151648418307</v>
      </c>
    </row>
    <row r="109" spans="1:33" hidden="1" x14ac:dyDescent="0.25">
      <c r="A109" s="5" t="s">
        <v>30</v>
      </c>
      <c r="B109" s="5"/>
      <c r="C109" s="5"/>
      <c r="D109" s="5"/>
      <c r="E109" s="5"/>
      <c r="F109" s="5">
        <f>1-((ABS(F106-F103))/F103)</f>
        <v>0.98819121834257462</v>
      </c>
      <c r="G109" s="5"/>
      <c r="H109" s="5"/>
      <c r="I109" s="5"/>
      <c r="J109" s="5"/>
      <c r="K109" s="5">
        <f>1-((ABS(K107-K108))/K108)</f>
        <v>0.62337525104995994</v>
      </c>
      <c r="L109" s="5">
        <f t="shared" ref="L109" si="213">1-((ABS(L107-L108))/L108)</f>
        <v>0.78218847853899331</v>
      </c>
      <c r="M109" s="5"/>
      <c r="N109" s="5">
        <f>1-((ABS(N107-N108))/N108)</f>
        <v>0.64753750474302896</v>
      </c>
      <c r="O109" s="5">
        <f t="shared" ref="O109" si="214">1-((ABS(O107-O108))/O108)</f>
        <v>0.81875247947796526</v>
      </c>
      <c r="P109" s="5"/>
      <c r="Q109" s="5">
        <f>1-((ABS(Q107-Q108))/Q108)</f>
        <v>0.65642605353195915</v>
      </c>
      <c r="R109" s="5">
        <f t="shared" ref="R109" si="215">1-((ABS(R107-R108))/R108)</f>
        <v>0.82719880468234974</v>
      </c>
      <c r="S109" s="5"/>
      <c r="T109" s="5">
        <f>1-((ABS(T107-T108))/T108)</f>
        <v>0.64838799837913452</v>
      </c>
      <c r="U109" s="5">
        <f t="shared" ref="U109" si="216">1-((ABS(U107-U108))/U108)</f>
        <v>0.81959846462208241</v>
      </c>
      <c r="V109" s="5"/>
      <c r="W109" s="5">
        <f>1-((ABS(W107-W108))/W108)</f>
        <v>0.65811155140441868</v>
      </c>
      <c r="X109" s="5">
        <f t="shared" ref="X109" si="217">1-((ABS(X107-X108))/X108)</f>
        <v>0.82887337502279257</v>
      </c>
      <c r="Y109" s="5"/>
      <c r="Z109" s="5">
        <f>1-((ABS(Z107-Z108))/Z108)</f>
        <v>0.64994723671199495</v>
      </c>
      <c r="AA109" s="5">
        <f t="shared" ref="AA109" si="218">1-((ABS(AA107-AA108))/AA108)</f>
        <v>0.82064587480051321</v>
      </c>
      <c r="AB109" s="5"/>
      <c r="AC109" s="5">
        <f>1-((ABS(AC107-AC108))/AC108)</f>
        <v>0.65675493116560968</v>
      </c>
      <c r="AD109" s="5">
        <f t="shared" ref="AD109" si="219">1-((ABS(AD107-AD108))/AD108)</f>
        <v>0.82749088090452005</v>
      </c>
      <c r="AE109" s="5"/>
      <c r="AF109" s="5">
        <f>1-((ABS(AF107-AF108))/AF108)</f>
        <v>0.55805526521093562</v>
      </c>
      <c r="AG109" s="5">
        <f t="shared" ref="AG109" si="220">1-((ABS(AG107-AG108))/AG108)</f>
        <v>0.71773099861424305</v>
      </c>
    </row>
    <row r="110" spans="1:33" hidden="1" x14ac:dyDescent="0.25"/>
    <row r="111" spans="1:33" hidden="1" x14ac:dyDescent="0.25"/>
    <row r="112" spans="1:33" hidden="1" x14ac:dyDescent="0.25"/>
    <row r="119" spans="2:12" x14ac:dyDescent="0.25">
      <c r="E119" s="13" t="s">
        <v>60</v>
      </c>
      <c r="F119" s="13"/>
      <c r="G119" s="13"/>
      <c r="H119" s="13"/>
      <c r="I119" s="13"/>
      <c r="J119" s="13"/>
      <c r="K119" s="13"/>
      <c r="L119" s="13"/>
    </row>
    <row r="120" spans="2:12" x14ac:dyDescent="0.25">
      <c r="E120" t="s">
        <v>3</v>
      </c>
      <c r="F120" t="s">
        <v>8</v>
      </c>
      <c r="G120" t="s">
        <v>9</v>
      </c>
      <c r="H120" t="s">
        <v>10</v>
      </c>
      <c r="I120" t="s">
        <v>11</v>
      </c>
      <c r="J120" t="s">
        <v>12</v>
      </c>
      <c r="K120" t="s">
        <v>13</v>
      </c>
      <c r="L120" t="s">
        <v>6</v>
      </c>
    </row>
    <row r="121" spans="2:12" x14ac:dyDescent="0.25">
      <c r="B121" s="13" t="s">
        <v>61</v>
      </c>
      <c r="C121" s="13" t="s">
        <v>31</v>
      </c>
      <c r="D121" t="s">
        <v>37</v>
      </c>
      <c r="E121" s="7">
        <v>0.59</v>
      </c>
      <c r="F121" s="7">
        <v>0.59</v>
      </c>
      <c r="G121" s="7">
        <v>0.6</v>
      </c>
      <c r="H121" s="7">
        <v>0.59</v>
      </c>
      <c r="I121" s="7">
        <v>0.56999999999999995</v>
      </c>
      <c r="J121" s="7">
        <v>0.56999999999999995</v>
      </c>
      <c r="K121" s="7">
        <v>0.57999999999999996</v>
      </c>
      <c r="L121" s="7">
        <v>0.56000000000000005</v>
      </c>
    </row>
    <row r="122" spans="2:12" x14ac:dyDescent="0.25">
      <c r="B122" s="13"/>
      <c r="C122" s="13"/>
      <c r="D122" t="s">
        <v>38</v>
      </c>
      <c r="E122" s="7">
        <v>0.72</v>
      </c>
      <c r="F122" s="7">
        <v>0.73</v>
      </c>
      <c r="G122" s="7">
        <v>0.77</v>
      </c>
      <c r="H122" s="7">
        <v>0.76</v>
      </c>
      <c r="I122" s="7">
        <v>0.71</v>
      </c>
      <c r="J122" s="7">
        <v>0.71</v>
      </c>
      <c r="K122" s="7">
        <v>0.71</v>
      </c>
      <c r="L122" s="7">
        <v>0.72</v>
      </c>
    </row>
    <row r="123" spans="2:12" x14ac:dyDescent="0.25">
      <c r="B123" s="13"/>
      <c r="C123" s="13" t="s">
        <v>32</v>
      </c>
      <c r="D123" t="s">
        <v>37</v>
      </c>
      <c r="E123" s="7">
        <v>0.66</v>
      </c>
      <c r="F123" s="7">
        <v>0.67</v>
      </c>
      <c r="G123" s="7">
        <v>0.7</v>
      </c>
      <c r="H123" s="7">
        <v>0.7</v>
      </c>
      <c r="I123" s="7">
        <v>0.66</v>
      </c>
      <c r="J123" s="7">
        <v>0.68</v>
      </c>
      <c r="K123" s="7">
        <v>0.67</v>
      </c>
      <c r="L123" s="7">
        <v>0.62</v>
      </c>
    </row>
    <row r="124" spans="2:12" x14ac:dyDescent="0.25">
      <c r="B124" s="13"/>
      <c r="C124" s="13"/>
      <c r="D124" t="s">
        <v>38</v>
      </c>
      <c r="E124" s="7">
        <v>0.8</v>
      </c>
      <c r="F124" s="7">
        <v>0.83</v>
      </c>
      <c r="G124" s="7">
        <v>0.88</v>
      </c>
      <c r="H124" s="7">
        <v>0.89</v>
      </c>
      <c r="I124" s="7">
        <v>0.82</v>
      </c>
      <c r="J124" s="7">
        <v>0.84</v>
      </c>
      <c r="K124" s="7">
        <v>0.8</v>
      </c>
      <c r="L124" s="7">
        <v>0.78</v>
      </c>
    </row>
    <row r="125" spans="2:12" x14ac:dyDescent="0.25">
      <c r="B125" s="13"/>
      <c r="C125" s="13" t="s">
        <v>47</v>
      </c>
      <c r="D125" t="s">
        <v>37</v>
      </c>
      <c r="E125" s="7">
        <v>0.65</v>
      </c>
      <c r="F125" s="7">
        <v>0.68</v>
      </c>
      <c r="G125" s="7">
        <v>0.65</v>
      </c>
      <c r="H125" s="5">
        <v>0.69</v>
      </c>
      <c r="I125" s="7">
        <v>0.64</v>
      </c>
      <c r="J125" s="5">
        <v>0.68</v>
      </c>
      <c r="K125" s="5">
        <v>0.62</v>
      </c>
      <c r="L125" s="7">
        <v>0.66</v>
      </c>
    </row>
    <row r="126" spans="2:12" x14ac:dyDescent="0.25">
      <c r="B126" s="13"/>
      <c r="C126" s="13"/>
      <c r="D126" t="s">
        <v>38</v>
      </c>
      <c r="E126" s="7">
        <v>0.8</v>
      </c>
      <c r="F126" s="7">
        <v>0.84</v>
      </c>
      <c r="G126" s="7">
        <v>0.82</v>
      </c>
      <c r="H126" s="5">
        <v>0.88</v>
      </c>
      <c r="I126" s="7">
        <v>0.8</v>
      </c>
      <c r="J126" s="5">
        <v>0.84</v>
      </c>
      <c r="K126" s="5">
        <v>0.76</v>
      </c>
      <c r="L126" s="7">
        <v>0.83</v>
      </c>
    </row>
    <row r="127" spans="2:12" x14ac:dyDescent="0.25">
      <c r="B127" s="13"/>
      <c r="C127" s="13" t="s">
        <v>48</v>
      </c>
      <c r="D127" t="s">
        <v>37</v>
      </c>
      <c r="E127" s="7">
        <v>0.68</v>
      </c>
      <c r="F127" s="7">
        <v>0.87</v>
      </c>
      <c r="G127" s="7">
        <v>0.68</v>
      </c>
      <c r="H127" s="5">
        <v>0.7</v>
      </c>
      <c r="I127" s="7">
        <v>0.68</v>
      </c>
      <c r="J127" s="5">
        <v>0.65</v>
      </c>
      <c r="K127" s="5">
        <v>0.68</v>
      </c>
      <c r="L127" s="7">
        <v>0.65</v>
      </c>
    </row>
    <row r="128" spans="2:12" x14ac:dyDescent="0.25">
      <c r="B128" s="13"/>
      <c r="C128" s="13"/>
      <c r="D128" t="s">
        <v>38</v>
      </c>
      <c r="E128" s="7">
        <v>0.82</v>
      </c>
      <c r="F128" s="7">
        <v>0.83</v>
      </c>
      <c r="G128" s="7">
        <v>0.85</v>
      </c>
      <c r="H128" s="5">
        <v>0.9</v>
      </c>
      <c r="I128" s="7">
        <v>0.83</v>
      </c>
      <c r="J128" s="5">
        <v>0.81</v>
      </c>
      <c r="K128" s="5">
        <v>0.81</v>
      </c>
      <c r="L128" s="7">
        <v>0.82</v>
      </c>
    </row>
  </sheetData>
  <mergeCells count="14">
    <mergeCell ref="E119:L119"/>
    <mergeCell ref="C121:C122"/>
    <mergeCell ref="C123:C124"/>
    <mergeCell ref="C125:C126"/>
    <mergeCell ref="C127:C128"/>
    <mergeCell ref="B121:B128"/>
    <mergeCell ref="A69:AB69"/>
    <mergeCell ref="A83:AB83"/>
    <mergeCell ref="A97:AB97"/>
    <mergeCell ref="A1:AB1"/>
    <mergeCell ref="A14:AB14"/>
    <mergeCell ref="A27:AB27"/>
    <mergeCell ref="A41:AB41"/>
    <mergeCell ref="A55:AB55"/>
  </mergeCells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E7C20-3E73-4276-82E9-C20591698FD2}">
  <dimension ref="K7"/>
  <sheetViews>
    <sheetView workbookViewId="0">
      <selection activeCell="D19" sqref="D19"/>
    </sheetView>
  </sheetViews>
  <sheetFormatPr defaultRowHeight="15" x14ac:dyDescent="0.25"/>
  <sheetData>
    <row r="7" spans="11:11" x14ac:dyDescent="0.25">
      <c r="K7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17305-1D0D-4E28-A94D-529B3F4C4453}">
  <dimension ref="A1"/>
  <sheetViews>
    <sheetView workbookViewId="0">
      <selection activeCell="R30" sqref="R3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7EFFA-C57C-4C7C-8053-3CA2ACE428CA}">
  <dimension ref="A1:AF58"/>
  <sheetViews>
    <sheetView topLeftCell="A43" workbookViewId="0">
      <selection activeCell="A50" sqref="A50:J58"/>
    </sheetView>
  </sheetViews>
  <sheetFormatPr defaultRowHeight="15" x14ac:dyDescent="0.25"/>
  <cols>
    <col min="1" max="1" width="39" bestFit="1" customWidth="1"/>
    <col min="4" max="4" width="10.85546875" bestFit="1" customWidth="1"/>
    <col min="5" max="11" width="10.42578125" bestFit="1" customWidth="1"/>
  </cols>
  <sheetData>
    <row r="1" spans="1:32" x14ac:dyDescent="0.25">
      <c r="A1" t="s">
        <v>14</v>
      </c>
    </row>
    <row r="2" spans="1:32" x14ac:dyDescent="0.25">
      <c r="A2" t="s">
        <v>23</v>
      </c>
      <c r="F2">
        <v>1.2322</v>
      </c>
      <c r="G2">
        <v>1.35504</v>
      </c>
    </row>
    <row r="3" spans="1:32" x14ac:dyDescent="0.25">
      <c r="A3" t="s">
        <v>24</v>
      </c>
      <c r="F3">
        <v>1.056</v>
      </c>
      <c r="G3">
        <v>1.0528</v>
      </c>
    </row>
    <row r="4" spans="1:32" s="5" customFormat="1" x14ac:dyDescent="0.25">
      <c r="A4" s="5" t="s">
        <v>30</v>
      </c>
      <c r="F4" s="5">
        <v>0.83314393939393949</v>
      </c>
      <c r="G4" s="5">
        <v>0.71291793313069896</v>
      </c>
    </row>
    <row r="6" spans="1:32" x14ac:dyDescent="0.25">
      <c r="A6" t="s">
        <v>15</v>
      </c>
      <c r="F6" s="13" t="s">
        <v>31</v>
      </c>
      <c r="G6" s="13"/>
      <c r="I6" s="13" t="s">
        <v>32</v>
      </c>
      <c r="J6" s="13"/>
      <c r="L6" s="13" t="s">
        <v>35</v>
      </c>
      <c r="M6" s="13"/>
      <c r="O6" s="13" t="s">
        <v>36</v>
      </c>
      <c r="P6" s="13"/>
      <c r="R6" s="13" t="s">
        <v>35</v>
      </c>
      <c r="S6" s="13"/>
      <c r="U6" s="13" t="s">
        <v>36</v>
      </c>
      <c r="V6" s="13"/>
      <c r="X6" s="13" t="s">
        <v>35</v>
      </c>
      <c r="Y6" s="13"/>
      <c r="AA6" s="13" t="s">
        <v>36</v>
      </c>
      <c r="AB6" s="13"/>
    </row>
    <row r="7" spans="1:32" x14ac:dyDescent="0.25">
      <c r="A7" t="s">
        <v>23</v>
      </c>
      <c r="F7">
        <v>0.10584</v>
      </c>
      <c r="G7">
        <v>0.1081</v>
      </c>
      <c r="I7">
        <v>0.97596000000000005</v>
      </c>
      <c r="J7">
        <v>0.99429999999999996</v>
      </c>
      <c r="L7">
        <v>0.27326</v>
      </c>
      <c r="M7">
        <v>0.27846000000000004</v>
      </c>
      <c r="O7">
        <v>0.77507999999999999</v>
      </c>
      <c r="P7">
        <v>0.78904000000000007</v>
      </c>
      <c r="R7">
        <v>0.27466000000000002</v>
      </c>
      <c r="S7">
        <v>0.27906000000000003</v>
      </c>
      <c r="U7">
        <v>0.77773999999999999</v>
      </c>
      <c r="V7">
        <v>0.78913999999999995</v>
      </c>
      <c r="X7">
        <v>0.27577999999999997</v>
      </c>
      <c r="Y7">
        <v>0.27950000000000003</v>
      </c>
      <c r="AA7">
        <v>0.77657999999999994</v>
      </c>
      <c r="AB7">
        <v>0.78886000000000012</v>
      </c>
      <c r="AD7">
        <v>0.27456666666666663</v>
      </c>
      <c r="AF7">
        <v>0.27900666666666668</v>
      </c>
    </row>
    <row r="8" spans="1:32" x14ac:dyDescent="0.25">
      <c r="A8" t="s">
        <v>24</v>
      </c>
      <c r="F8">
        <v>0.13200000000000001</v>
      </c>
      <c r="G8">
        <v>0.13159999999999999</v>
      </c>
      <c r="I8">
        <v>1.0976999999999999</v>
      </c>
      <c r="J8">
        <v>1.0943000000000001</v>
      </c>
      <c r="L8">
        <v>0.30570000000000003</v>
      </c>
      <c r="M8">
        <v>0.30480000000000002</v>
      </c>
      <c r="O8">
        <v>0.83050000000000002</v>
      </c>
      <c r="P8">
        <v>0.82799999999999996</v>
      </c>
      <c r="R8">
        <v>0.30570000000000003</v>
      </c>
      <c r="S8">
        <v>0.30480000000000002</v>
      </c>
      <c r="U8">
        <v>0.83050000000000002</v>
      </c>
      <c r="V8">
        <v>0.82799999999999996</v>
      </c>
      <c r="X8">
        <v>0.30570000000000003</v>
      </c>
      <c r="Y8">
        <v>0.30480000000000002</v>
      </c>
      <c r="AA8">
        <v>0.83050000000000002</v>
      </c>
      <c r="AB8">
        <v>0.82799999999999996</v>
      </c>
    </row>
    <row r="9" spans="1:32" s="5" customFormat="1" x14ac:dyDescent="0.25">
      <c r="A9" s="5" t="s">
        <v>30</v>
      </c>
      <c r="F9" s="5">
        <v>0.75283446712018143</v>
      </c>
      <c r="G9" s="5">
        <v>0.78260869565217395</v>
      </c>
      <c r="I9" s="5">
        <v>0.87526128120004931</v>
      </c>
      <c r="J9" s="5">
        <v>0.89942673237453474</v>
      </c>
      <c r="L9" s="5">
        <v>0.88128522286467093</v>
      </c>
      <c r="M9" s="5">
        <v>0.90540831717302317</v>
      </c>
      <c r="O9" s="5">
        <v>0.92849770346286831</v>
      </c>
      <c r="P9" s="5">
        <v>0.9506235425326981</v>
      </c>
      <c r="R9" s="5">
        <v>0.88698754824146209</v>
      </c>
      <c r="S9" s="5">
        <v>0.90776177166200822</v>
      </c>
      <c r="U9" s="5">
        <v>0.93216241931750965</v>
      </c>
      <c r="V9" s="5">
        <v>0.95075651975568343</v>
      </c>
      <c r="X9" s="5">
        <v>0.8915077235477552</v>
      </c>
      <c r="Y9" s="5">
        <v>0.90948121645796065</v>
      </c>
      <c r="AA9" s="5">
        <v>0.93056735944783531</v>
      </c>
      <c r="AB9" s="5">
        <v>0.95038409857262396</v>
      </c>
    </row>
    <row r="11" spans="1:32" x14ac:dyDescent="0.25">
      <c r="A11" t="s">
        <v>16</v>
      </c>
      <c r="F11" s="13" t="s">
        <v>36</v>
      </c>
      <c r="G11" s="13"/>
      <c r="I11" s="13" t="s">
        <v>31</v>
      </c>
      <c r="J11" s="13"/>
      <c r="L11" s="13" t="s">
        <v>32</v>
      </c>
      <c r="M11" s="13"/>
      <c r="O11" s="13" t="s">
        <v>35</v>
      </c>
      <c r="P11" s="13"/>
      <c r="R11" s="13" t="s">
        <v>36</v>
      </c>
      <c r="S11" s="13"/>
      <c r="U11" s="13" t="s">
        <v>35</v>
      </c>
      <c r="V11" s="13"/>
      <c r="X11" s="13" t="s">
        <v>36</v>
      </c>
      <c r="Y11" s="13"/>
      <c r="AA11" s="13" t="s">
        <v>35</v>
      </c>
      <c r="AB11" s="13"/>
    </row>
    <row r="12" spans="1:32" x14ac:dyDescent="0.25">
      <c r="A12" t="s">
        <v>23</v>
      </c>
      <c r="F12">
        <v>0.86470000000000002</v>
      </c>
      <c r="G12">
        <v>0.87924000000000002</v>
      </c>
      <c r="I12">
        <v>0.10562000000000001</v>
      </c>
      <c r="J12">
        <v>0.1072</v>
      </c>
      <c r="L12">
        <v>0.92577999999999994</v>
      </c>
      <c r="M12">
        <v>0.94157999999999986</v>
      </c>
      <c r="O12">
        <v>0.36312</v>
      </c>
      <c r="P12">
        <v>0.36963999999999997</v>
      </c>
      <c r="R12">
        <v>0.86635999999999991</v>
      </c>
      <c r="S12">
        <v>0.88175999999999988</v>
      </c>
      <c r="U12">
        <v>0.36426000000000003</v>
      </c>
      <c r="V12">
        <v>0.36892000000000003</v>
      </c>
      <c r="X12">
        <v>0.86269999999999991</v>
      </c>
      <c r="Y12">
        <v>0.87702000000000013</v>
      </c>
      <c r="AA12">
        <v>0.36292000000000002</v>
      </c>
      <c r="AB12">
        <v>0.37053999999999998</v>
      </c>
    </row>
    <row r="13" spans="1:32" x14ac:dyDescent="0.25">
      <c r="A13" t="s">
        <v>24</v>
      </c>
      <c r="F13">
        <v>0.92410000000000003</v>
      </c>
      <c r="G13">
        <v>0.92130000000000001</v>
      </c>
      <c r="I13">
        <v>0.13200000000000001</v>
      </c>
      <c r="J13">
        <v>0.13159999999999999</v>
      </c>
      <c r="L13">
        <v>0.99960000000000004</v>
      </c>
      <c r="M13">
        <v>0.99650000000000005</v>
      </c>
      <c r="O13">
        <v>0.3992</v>
      </c>
      <c r="P13">
        <v>0.39800000000000002</v>
      </c>
      <c r="R13">
        <v>0.92410000000000003</v>
      </c>
      <c r="S13">
        <v>0.92130000000000001</v>
      </c>
      <c r="U13">
        <v>0.3992</v>
      </c>
      <c r="V13">
        <v>0.39800000000000002</v>
      </c>
      <c r="X13">
        <v>0.92410000000000003</v>
      </c>
      <c r="Y13">
        <v>0.92130000000000001</v>
      </c>
      <c r="AA13">
        <v>0.3992</v>
      </c>
      <c r="AB13">
        <v>0.39800000000000002</v>
      </c>
    </row>
    <row r="14" spans="1:32" s="5" customFormat="1" x14ac:dyDescent="0.25">
      <c r="A14" s="5" t="s">
        <v>30</v>
      </c>
      <c r="F14" s="5">
        <v>0.93130565514051111</v>
      </c>
      <c r="G14" s="5">
        <v>0.95216323188207996</v>
      </c>
      <c r="I14" s="5">
        <v>0.75023669759515244</v>
      </c>
      <c r="J14" s="5">
        <v>0.7723880597014926</v>
      </c>
      <c r="L14" s="5">
        <v>0.92026183326492239</v>
      </c>
      <c r="M14" s="5">
        <v>0.94167250791223245</v>
      </c>
      <c r="O14" s="5">
        <v>0.90063890724829254</v>
      </c>
      <c r="P14" s="5">
        <v>0.92327670165566478</v>
      </c>
      <c r="R14" s="5">
        <v>0.9333533404127613</v>
      </c>
      <c r="S14" s="5">
        <v>0.95515786608600961</v>
      </c>
      <c r="U14" s="5">
        <v>0.90407950365123824</v>
      </c>
      <c r="V14" s="5">
        <v>0.92117532256315737</v>
      </c>
      <c r="X14" s="5">
        <v>0.92882809783238651</v>
      </c>
      <c r="Y14" s="5">
        <v>0.94951084353834592</v>
      </c>
      <c r="AA14" s="5">
        <v>0.9000330651383226</v>
      </c>
      <c r="AB14" s="5">
        <v>0.92589194149079712</v>
      </c>
    </row>
    <row r="16" spans="1:32" x14ac:dyDescent="0.25">
      <c r="A16" t="s">
        <v>17</v>
      </c>
      <c r="L16" s="13" t="s">
        <v>31</v>
      </c>
      <c r="M16" s="13"/>
      <c r="O16" s="13" t="s">
        <v>32</v>
      </c>
      <c r="P16" s="13"/>
      <c r="R16" s="13" t="s">
        <v>33</v>
      </c>
      <c r="S16" s="13"/>
      <c r="U16" s="13" t="s">
        <v>34</v>
      </c>
      <c r="V16" s="13"/>
    </row>
    <row r="17" spans="1:28" x14ac:dyDescent="0.25">
      <c r="A17" t="s">
        <v>23</v>
      </c>
      <c r="F17">
        <v>0.18406</v>
      </c>
      <c r="G17">
        <v>0.18668000000000001</v>
      </c>
      <c r="I17">
        <v>0.68524000000000007</v>
      </c>
      <c r="J17">
        <v>0.69703999999999999</v>
      </c>
      <c r="L17">
        <v>0.10554000000000001</v>
      </c>
      <c r="M17">
        <v>0.10769999999999999</v>
      </c>
      <c r="O17">
        <v>0.80145999999999995</v>
      </c>
      <c r="P17">
        <v>0.81347999999999998</v>
      </c>
      <c r="R17">
        <v>0.18294000000000002</v>
      </c>
      <c r="S17">
        <v>0.18675999999999998</v>
      </c>
      <c r="U17">
        <v>0.68474000000000002</v>
      </c>
      <c r="V17">
        <v>0.69807999999999992</v>
      </c>
      <c r="X17">
        <v>0.18250000000000002</v>
      </c>
      <c r="Y17">
        <v>0.18572000000000002</v>
      </c>
      <c r="AA17">
        <v>0.68540000000000001</v>
      </c>
      <c r="AB17">
        <v>0.69703999999999999</v>
      </c>
    </row>
    <row r="18" spans="1:28" x14ac:dyDescent="0.25">
      <c r="A18" t="s">
        <v>24</v>
      </c>
      <c r="F18">
        <v>0.20760000000000001</v>
      </c>
      <c r="G18">
        <v>0.2069</v>
      </c>
      <c r="I18">
        <v>0.73260000000000003</v>
      </c>
      <c r="J18">
        <v>0.73029999999999995</v>
      </c>
      <c r="L18">
        <v>0.13200000000000001</v>
      </c>
      <c r="M18">
        <v>0.13159999999999999</v>
      </c>
      <c r="O18">
        <v>0.84719999999999995</v>
      </c>
      <c r="P18">
        <v>0.84460000000000002</v>
      </c>
      <c r="R18">
        <v>0.20760000000000001</v>
      </c>
      <c r="S18">
        <v>0.2069</v>
      </c>
      <c r="U18">
        <v>0.73260000000000003</v>
      </c>
      <c r="V18">
        <v>0.73029999999999995</v>
      </c>
      <c r="X18">
        <v>0.20760000000000001</v>
      </c>
      <c r="Y18">
        <v>0.2069</v>
      </c>
      <c r="AA18">
        <v>0.73260000000000003</v>
      </c>
      <c r="AB18">
        <v>0.73029999999999995</v>
      </c>
    </row>
    <row r="19" spans="1:28" s="5" customFormat="1" x14ac:dyDescent="0.25">
      <c r="A19" s="5" t="s">
        <v>30</v>
      </c>
      <c r="F19" s="5">
        <v>0.87210692165598169</v>
      </c>
      <c r="G19" s="5">
        <v>0.89168630812084859</v>
      </c>
      <c r="I19" s="5">
        <v>0.93088552915766742</v>
      </c>
      <c r="J19" s="5">
        <v>0.95228394353265244</v>
      </c>
      <c r="L19" s="5">
        <v>0.74928936895963627</v>
      </c>
      <c r="M19" s="5">
        <v>0.77808727948003709</v>
      </c>
      <c r="O19" s="5">
        <v>0.94292915429341451</v>
      </c>
      <c r="P19" s="5">
        <v>0.96174460343216794</v>
      </c>
      <c r="R19" s="5">
        <v>0.86520170547720576</v>
      </c>
      <c r="S19" s="5">
        <v>0.8921610623259798</v>
      </c>
      <c r="U19" s="5">
        <v>0.9301048573181061</v>
      </c>
      <c r="V19" s="5">
        <v>0.95384483153793254</v>
      </c>
      <c r="X19" s="5">
        <v>0.86246575342465759</v>
      </c>
      <c r="Y19" s="5">
        <v>0.88595735515830298</v>
      </c>
      <c r="AA19" s="5">
        <v>0.93113510358914497</v>
      </c>
      <c r="AB19" s="5">
        <v>0.95228394353265244</v>
      </c>
    </row>
    <row r="21" spans="1:28" x14ac:dyDescent="0.25">
      <c r="A21" t="s">
        <v>18</v>
      </c>
      <c r="O21" s="13" t="s">
        <v>31</v>
      </c>
      <c r="P21" s="13"/>
      <c r="R21" s="13" t="s">
        <v>32</v>
      </c>
      <c r="S21" s="13"/>
      <c r="U21" s="13" t="s">
        <v>33</v>
      </c>
      <c r="V21" s="13"/>
      <c r="X21" s="13" t="s">
        <v>34</v>
      </c>
      <c r="Y21" s="13"/>
    </row>
    <row r="22" spans="1:28" x14ac:dyDescent="0.25">
      <c r="A22" t="s">
        <v>23</v>
      </c>
      <c r="F22">
        <v>0.72499999999999998</v>
      </c>
      <c r="G22">
        <v>0.73846000000000012</v>
      </c>
      <c r="I22">
        <v>0.22144</v>
      </c>
      <c r="J22">
        <v>0.22560000000000002</v>
      </c>
      <c r="L22">
        <v>0.72155999999999998</v>
      </c>
      <c r="M22">
        <v>0.73626000000000003</v>
      </c>
      <c r="O22">
        <v>0.10824</v>
      </c>
      <c r="P22">
        <v>0.11012</v>
      </c>
      <c r="R22">
        <v>0.86212</v>
      </c>
      <c r="S22">
        <v>0.87736000000000003</v>
      </c>
      <c r="U22">
        <v>0.22168000000000002</v>
      </c>
      <c r="V22">
        <v>0.22611999999999996</v>
      </c>
      <c r="X22">
        <v>0.72377999999999998</v>
      </c>
      <c r="Y22">
        <v>0.73599999999999999</v>
      </c>
      <c r="AA22">
        <v>0.22246000000000002</v>
      </c>
      <c r="AB22">
        <v>0.22459999999999999</v>
      </c>
    </row>
    <row r="23" spans="1:28" x14ac:dyDescent="0.25">
      <c r="A23" t="s">
        <v>24</v>
      </c>
      <c r="F23">
        <v>0.77159999999999995</v>
      </c>
      <c r="G23">
        <v>0.76929999999999998</v>
      </c>
      <c r="I23">
        <v>0.24660000000000001</v>
      </c>
      <c r="J23">
        <v>0.24590000000000001</v>
      </c>
      <c r="L23">
        <v>0.77159999999999995</v>
      </c>
      <c r="M23">
        <v>0.76929999999999998</v>
      </c>
      <c r="O23">
        <v>0.13200000000000001</v>
      </c>
      <c r="P23">
        <v>0.13159999999999999</v>
      </c>
      <c r="R23">
        <v>0.90939999999999999</v>
      </c>
      <c r="S23">
        <v>0.90669999999999995</v>
      </c>
      <c r="U23">
        <v>0.24660000000000001</v>
      </c>
      <c r="V23">
        <v>0.24590000000000001</v>
      </c>
      <c r="X23">
        <v>0.77159999999999995</v>
      </c>
      <c r="Y23">
        <v>0.76929999999999998</v>
      </c>
      <c r="AA23">
        <v>0.24660000000000001</v>
      </c>
      <c r="AB23">
        <v>0.24590000000000001</v>
      </c>
    </row>
    <row r="24" spans="1:28" s="5" customFormat="1" x14ac:dyDescent="0.25">
      <c r="A24" s="5" t="s">
        <v>30</v>
      </c>
      <c r="F24" s="5">
        <v>0.93572413793103448</v>
      </c>
      <c r="G24" s="5">
        <v>0.95823741299461063</v>
      </c>
      <c r="I24" s="5">
        <v>0.88638005780346818</v>
      </c>
      <c r="J24" s="5">
        <v>0.91001773049645396</v>
      </c>
      <c r="L24" s="5">
        <v>0.93065025777482124</v>
      </c>
      <c r="M24" s="5">
        <v>0.95512454839323069</v>
      </c>
      <c r="O24" s="5">
        <v>0.78048780487804881</v>
      </c>
      <c r="P24" s="5">
        <v>0.80494006538321827</v>
      </c>
      <c r="R24" s="5">
        <v>0.94515844661996007</v>
      </c>
      <c r="S24" s="5">
        <v>0.9665587672107232</v>
      </c>
      <c r="U24" s="5">
        <v>0.8875857091302779</v>
      </c>
      <c r="V24" s="5">
        <v>0.91252432336812284</v>
      </c>
      <c r="X24" s="5">
        <v>0.9339301997844649</v>
      </c>
      <c r="Y24" s="5">
        <v>0.95475543478260871</v>
      </c>
      <c r="AA24" s="5">
        <v>0.89148610986244725</v>
      </c>
      <c r="AB24" s="5">
        <v>0.90516473731077463</v>
      </c>
    </row>
    <row r="26" spans="1:28" x14ac:dyDescent="0.25">
      <c r="A26" t="s">
        <v>19</v>
      </c>
      <c r="R26" s="13" t="s">
        <v>31</v>
      </c>
      <c r="S26" s="13"/>
      <c r="U26" s="13" t="s">
        <v>32</v>
      </c>
      <c r="V26" s="13"/>
      <c r="X26" s="13" t="s">
        <v>33</v>
      </c>
      <c r="Y26" s="13"/>
      <c r="AA26" s="13" t="s">
        <v>34</v>
      </c>
      <c r="AB26" s="13"/>
    </row>
    <row r="27" spans="1:28" x14ac:dyDescent="0.25">
      <c r="A27" t="s">
        <v>23</v>
      </c>
      <c r="F27">
        <v>0.24084</v>
      </c>
      <c r="G27">
        <v>0.24518000000000001</v>
      </c>
      <c r="I27">
        <v>0.74202000000000001</v>
      </c>
      <c r="J27">
        <v>0.75356000000000001</v>
      </c>
      <c r="L27">
        <v>0.23818</v>
      </c>
      <c r="M27">
        <v>0.24296000000000001</v>
      </c>
      <c r="O27">
        <v>0.74231999999999998</v>
      </c>
      <c r="P27">
        <v>0.75492000000000004</v>
      </c>
      <c r="R27">
        <v>0.10338</v>
      </c>
      <c r="S27">
        <v>0.10442</v>
      </c>
      <c r="U27">
        <v>0.94406000000000001</v>
      </c>
      <c r="V27">
        <v>0.95938000000000001</v>
      </c>
      <c r="X27">
        <v>0.24079999999999999</v>
      </c>
      <c r="Y27">
        <v>0.24357999999999999</v>
      </c>
      <c r="AA27">
        <v>0.74217999999999995</v>
      </c>
      <c r="AB27">
        <v>0.75263999999999998</v>
      </c>
    </row>
    <row r="28" spans="1:28" x14ac:dyDescent="0.25">
      <c r="A28" t="s">
        <v>24</v>
      </c>
      <c r="F28">
        <v>0.26979999999999998</v>
      </c>
      <c r="G28">
        <v>0.26900000000000002</v>
      </c>
      <c r="I28">
        <v>0.79469999999999996</v>
      </c>
      <c r="J28">
        <v>0.79220000000000002</v>
      </c>
      <c r="L28">
        <v>0.26979999999999998</v>
      </c>
      <c r="M28">
        <v>0.26900000000000002</v>
      </c>
      <c r="O28">
        <v>0.79469999999999996</v>
      </c>
      <c r="P28">
        <v>0.79220000000000002</v>
      </c>
      <c r="R28">
        <v>0.13200000000000001</v>
      </c>
      <c r="S28">
        <v>0.13159999999999999</v>
      </c>
      <c r="U28">
        <v>1.0407</v>
      </c>
      <c r="V28">
        <v>1.0375000000000001</v>
      </c>
      <c r="X28">
        <v>0.26979999999999998</v>
      </c>
      <c r="Y28">
        <v>0.26900000000000002</v>
      </c>
      <c r="AA28">
        <v>0.79469999999999996</v>
      </c>
      <c r="AB28">
        <v>0.79220000000000002</v>
      </c>
    </row>
    <row r="29" spans="1:28" s="5" customFormat="1" x14ac:dyDescent="0.25">
      <c r="A29" s="5" t="s">
        <v>30</v>
      </c>
      <c r="F29" s="5">
        <v>0.87975419365553897</v>
      </c>
      <c r="G29" s="5">
        <v>0.9028468880006526</v>
      </c>
      <c r="I29" s="5">
        <v>0.92900460904018767</v>
      </c>
      <c r="J29" s="5">
        <v>0.94872339296140984</v>
      </c>
      <c r="L29" s="5">
        <v>0.86724326139894203</v>
      </c>
      <c r="M29" s="5">
        <v>0.89282186368126437</v>
      </c>
      <c r="O29" s="5">
        <v>0.9294374393792435</v>
      </c>
      <c r="P29" s="5">
        <v>0.95061728395061729</v>
      </c>
      <c r="R29" s="5">
        <v>0.72315728380731281</v>
      </c>
      <c r="S29" s="5">
        <v>0.73970503734916693</v>
      </c>
      <c r="U29" s="5">
        <v>0.89763362498146315</v>
      </c>
      <c r="V29" s="5">
        <v>0.91857241134899614</v>
      </c>
      <c r="X29" s="5">
        <v>0.87956810631229232</v>
      </c>
      <c r="Y29" s="5">
        <v>0.89564003612776077</v>
      </c>
      <c r="AA29" s="5">
        <v>0.92923549543237494</v>
      </c>
      <c r="AB29" s="5">
        <v>0.94743835034013602</v>
      </c>
    </row>
    <row r="31" spans="1:28" x14ac:dyDescent="0.25">
      <c r="A31" t="s">
        <v>20</v>
      </c>
      <c r="F31" s="13" t="s">
        <v>34</v>
      </c>
      <c r="G31" s="13"/>
      <c r="U31" s="13" t="s">
        <v>31</v>
      </c>
      <c r="V31" s="13"/>
      <c r="X31" s="13" t="s">
        <v>32</v>
      </c>
      <c r="Y31" s="13"/>
      <c r="AA31" s="13" t="s">
        <v>33</v>
      </c>
      <c r="AB31" s="13"/>
    </row>
    <row r="32" spans="1:28" x14ac:dyDescent="0.25">
      <c r="A32" t="s">
        <v>23</v>
      </c>
      <c r="F32">
        <v>0.84199999999999997</v>
      </c>
      <c r="G32">
        <v>0.85751999999999984</v>
      </c>
      <c r="I32">
        <v>0.33806000000000003</v>
      </c>
      <c r="J32">
        <v>0.34360000000000002</v>
      </c>
      <c r="L32">
        <v>0.83886000000000005</v>
      </c>
      <c r="M32">
        <v>0.85436000000000001</v>
      </c>
      <c r="O32">
        <v>0.33927999999999997</v>
      </c>
      <c r="P32">
        <v>0.34442000000000006</v>
      </c>
      <c r="R32">
        <v>0.84345999999999999</v>
      </c>
      <c r="S32">
        <v>0.85633999999999999</v>
      </c>
      <c r="U32">
        <v>0.10301999999999997</v>
      </c>
      <c r="V32">
        <v>0.10500000000000001</v>
      </c>
      <c r="X32">
        <v>0.89702000000000004</v>
      </c>
      <c r="Y32">
        <v>0.91231999999999991</v>
      </c>
      <c r="AA32">
        <v>0.33734000000000003</v>
      </c>
      <c r="AB32">
        <v>0.34455999999999998</v>
      </c>
    </row>
    <row r="33" spans="1:28" x14ac:dyDescent="0.25">
      <c r="A33" t="s">
        <v>24</v>
      </c>
      <c r="F33">
        <v>0.90300000000000002</v>
      </c>
      <c r="G33">
        <v>0.90029999999999999</v>
      </c>
      <c r="I33">
        <v>0.37809999999999999</v>
      </c>
      <c r="J33">
        <v>0.377</v>
      </c>
      <c r="L33">
        <v>0.90300000000000002</v>
      </c>
      <c r="M33">
        <v>0.90029999999999999</v>
      </c>
      <c r="O33">
        <v>0.37809999999999999</v>
      </c>
      <c r="P33">
        <v>0.377</v>
      </c>
      <c r="R33">
        <v>0.90300000000000002</v>
      </c>
      <c r="S33">
        <v>0.90029999999999999</v>
      </c>
      <c r="U33">
        <v>0.13200000000000001</v>
      </c>
      <c r="V33">
        <v>0.13159999999999999</v>
      </c>
      <c r="X33">
        <v>0.95430000000000004</v>
      </c>
      <c r="Y33">
        <v>0.95130000000000003</v>
      </c>
      <c r="AA33">
        <v>0.37809999999999999</v>
      </c>
      <c r="AB33">
        <v>0.377</v>
      </c>
    </row>
    <row r="34" spans="1:28" s="5" customFormat="1" x14ac:dyDescent="0.25">
      <c r="A34" s="5" t="s">
        <v>30</v>
      </c>
      <c r="F34" s="5">
        <v>0.92755344418052255</v>
      </c>
      <c r="G34" s="5">
        <v>0.95011195074167343</v>
      </c>
      <c r="I34" s="5">
        <v>0.8815594864816898</v>
      </c>
      <c r="J34" s="5">
        <v>0.90279394644935973</v>
      </c>
      <c r="L34" s="5">
        <v>0.92353908876332169</v>
      </c>
      <c r="M34" s="5">
        <v>0.94622875602790391</v>
      </c>
      <c r="O34" s="5">
        <v>0.88558123084178253</v>
      </c>
      <c r="P34" s="5">
        <v>0.90540619011671819</v>
      </c>
      <c r="R34" s="5">
        <v>0.92940981196500128</v>
      </c>
      <c r="S34" s="5">
        <v>0.94866524978396427</v>
      </c>
      <c r="U34" s="5">
        <v>0.71869539895165946</v>
      </c>
      <c r="V34" s="5">
        <v>0.74666666666666681</v>
      </c>
      <c r="X34" s="5">
        <v>0.93614412164723193</v>
      </c>
      <c r="Y34" s="5">
        <v>0.95727376359172212</v>
      </c>
      <c r="AA34" s="5">
        <v>0.87917234837256197</v>
      </c>
      <c r="AB34" s="5">
        <v>0.90585094032969571</v>
      </c>
    </row>
    <row r="36" spans="1:28" x14ac:dyDescent="0.25">
      <c r="A36" t="s">
        <v>21</v>
      </c>
      <c r="F36" s="13" t="s">
        <v>33</v>
      </c>
      <c r="G36" s="13"/>
      <c r="I36" s="13" t="s">
        <v>34</v>
      </c>
      <c r="J36" s="13"/>
      <c r="X36" s="13" t="s">
        <v>31</v>
      </c>
      <c r="Y36" s="13"/>
      <c r="AA36" s="13" t="s">
        <v>32</v>
      </c>
      <c r="AB36" s="13"/>
    </row>
    <row r="37" spans="1:28" x14ac:dyDescent="0.25">
      <c r="A37" t="s">
        <v>23</v>
      </c>
      <c r="F37">
        <v>0.17614000000000002</v>
      </c>
      <c r="G37">
        <v>0.17921999999999999</v>
      </c>
      <c r="I37">
        <v>0.67844000000000004</v>
      </c>
      <c r="J37">
        <v>0.68980000000000008</v>
      </c>
      <c r="L37">
        <v>0.17542000000000002</v>
      </c>
      <c r="M37">
        <v>0.17842000000000002</v>
      </c>
      <c r="O37">
        <v>0.67908000000000002</v>
      </c>
      <c r="P37">
        <v>0.69057999999999997</v>
      </c>
      <c r="R37">
        <v>0.17543999999999998</v>
      </c>
      <c r="S37">
        <v>0.17812</v>
      </c>
      <c r="U37">
        <v>0.67803999999999987</v>
      </c>
      <c r="V37">
        <v>0.68964000000000003</v>
      </c>
      <c r="X37">
        <v>0.10349999999999999</v>
      </c>
      <c r="Y37">
        <v>0.10481999999999998</v>
      </c>
      <c r="AA37">
        <v>0.96663999999999994</v>
      </c>
      <c r="AB37">
        <v>0.98680000000000001</v>
      </c>
    </row>
    <row r="38" spans="1:28" x14ac:dyDescent="0.25">
      <c r="A38" t="s">
        <v>24</v>
      </c>
      <c r="F38">
        <v>0.18329999999999999</v>
      </c>
      <c r="G38">
        <v>0.18279999999999999</v>
      </c>
      <c r="I38">
        <v>0.70850000000000002</v>
      </c>
      <c r="J38">
        <v>0.70630000000000004</v>
      </c>
      <c r="L38">
        <v>0.18329999999999999</v>
      </c>
      <c r="M38">
        <v>0.18279999999999999</v>
      </c>
      <c r="O38">
        <v>0.70850000000000002</v>
      </c>
      <c r="P38">
        <v>0.70630000000000004</v>
      </c>
      <c r="R38">
        <v>0.18329999999999999</v>
      </c>
      <c r="S38">
        <v>0.18279999999999999</v>
      </c>
      <c r="U38">
        <v>0.70850000000000002</v>
      </c>
      <c r="V38">
        <v>0.70630000000000004</v>
      </c>
      <c r="X38">
        <v>0.1321</v>
      </c>
      <c r="Y38">
        <v>0.13170000000000001</v>
      </c>
      <c r="AA38">
        <v>0.70840000000000003</v>
      </c>
      <c r="AB38">
        <v>0.70630000000000004</v>
      </c>
    </row>
    <row r="39" spans="1:28" s="5" customFormat="1" x14ac:dyDescent="0.25">
      <c r="A39" s="5" t="s">
        <v>30</v>
      </c>
      <c r="F39" s="5">
        <v>0.95935051663449544</v>
      </c>
      <c r="G39" s="5">
        <v>0.9800245508313804</v>
      </c>
      <c r="I39" s="5">
        <v>0.95569247096279708</v>
      </c>
      <c r="J39" s="5">
        <v>0.9760800231951291</v>
      </c>
      <c r="L39" s="5">
        <v>0.95507923839927045</v>
      </c>
      <c r="M39" s="5">
        <v>0.97545118260284736</v>
      </c>
      <c r="O39" s="5">
        <v>0.95667668021440777</v>
      </c>
      <c r="P39" s="5">
        <v>0.97723652581887677</v>
      </c>
      <c r="R39" s="5">
        <v>0.95519835841313261</v>
      </c>
      <c r="S39" s="5">
        <v>0.97372557826184603</v>
      </c>
      <c r="U39" s="5">
        <v>0.95507639667276245</v>
      </c>
      <c r="V39" s="5">
        <v>0.97584246853430778</v>
      </c>
      <c r="X39" s="5">
        <v>0.72367149758454108</v>
      </c>
      <c r="Y39" s="5">
        <v>0.74356038923869461</v>
      </c>
      <c r="AA39" s="5">
        <v>0.73284780269800553</v>
      </c>
      <c r="AB39" s="5">
        <v>0.71574787190920142</v>
      </c>
    </row>
    <row r="41" spans="1:28" x14ac:dyDescent="0.25">
      <c r="A41" t="s">
        <v>22</v>
      </c>
      <c r="F41" s="13" t="s">
        <v>32</v>
      </c>
      <c r="G41" s="13"/>
      <c r="I41" s="13" t="s">
        <v>33</v>
      </c>
      <c r="J41" s="13"/>
      <c r="L41" s="13" t="s">
        <v>34</v>
      </c>
      <c r="M41" s="13"/>
      <c r="AA41" s="13" t="s">
        <v>31</v>
      </c>
      <c r="AB41" s="13"/>
    </row>
    <row r="42" spans="1:28" x14ac:dyDescent="0.25">
      <c r="A42" t="s">
        <v>23</v>
      </c>
      <c r="F42">
        <v>1.0155600000000002</v>
      </c>
      <c r="G42">
        <v>1.04206</v>
      </c>
      <c r="I42">
        <v>0.44752000000000003</v>
      </c>
      <c r="J42">
        <v>0.45549999999999996</v>
      </c>
      <c r="L42">
        <v>0.91927999999999999</v>
      </c>
      <c r="M42">
        <v>0.93628</v>
      </c>
      <c r="O42">
        <v>0.44871999999999995</v>
      </c>
      <c r="P42">
        <v>0.45522000000000001</v>
      </c>
      <c r="R42">
        <v>0.92171999999999998</v>
      </c>
      <c r="S42">
        <v>0.93905999999999989</v>
      </c>
      <c r="U42">
        <v>0.44763999999999998</v>
      </c>
      <c r="V42">
        <v>0.45558000000000004</v>
      </c>
      <c r="X42">
        <v>0.91874</v>
      </c>
      <c r="Y42">
        <v>0.93612000000000006</v>
      </c>
      <c r="AA42">
        <v>0.10300000000000001</v>
      </c>
      <c r="AB42">
        <v>0.10546</v>
      </c>
    </row>
    <row r="43" spans="1:28" x14ac:dyDescent="0.25">
      <c r="A43" t="s">
        <v>24</v>
      </c>
      <c r="F43">
        <v>1.1894</v>
      </c>
      <c r="G43">
        <v>1.1858</v>
      </c>
      <c r="I43">
        <v>0.49099999999999999</v>
      </c>
      <c r="J43">
        <v>0.48949999999999999</v>
      </c>
      <c r="L43">
        <v>1.0157</v>
      </c>
      <c r="M43">
        <v>1.0125999999999999</v>
      </c>
      <c r="O43">
        <v>0.49099999999999999</v>
      </c>
      <c r="P43">
        <v>0.48949999999999999</v>
      </c>
      <c r="R43">
        <v>1.0157</v>
      </c>
      <c r="S43">
        <v>1.0125999999999999</v>
      </c>
      <c r="U43">
        <v>0.49099999999999999</v>
      </c>
      <c r="V43">
        <v>0.48949999999999999</v>
      </c>
      <c r="X43">
        <v>1.0157</v>
      </c>
      <c r="Y43">
        <v>1.0125999999999999</v>
      </c>
      <c r="AA43">
        <v>0.13200000000000001</v>
      </c>
      <c r="AB43">
        <v>0.13159999999999999</v>
      </c>
    </row>
    <row r="44" spans="1:28" s="5" customFormat="1" x14ac:dyDescent="0.25">
      <c r="A44" s="5" t="s">
        <v>30</v>
      </c>
      <c r="F44" s="5">
        <v>0.82882350624286139</v>
      </c>
      <c r="G44" s="5">
        <v>0.86206168550755236</v>
      </c>
      <c r="I44" s="5">
        <v>0.90284233106900258</v>
      </c>
      <c r="J44" s="5">
        <v>0.92535675082327107</v>
      </c>
      <c r="L44" s="5">
        <v>0.89511356713950041</v>
      </c>
      <c r="M44" s="5">
        <v>0.91848592301448295</v>
      </c>
      <c r="O44" s="5">
        <v>0.90577643073631653</v>
      </c>
      <c r="P44" s="5">
        <v>0.92469575150476702</v>
      </c>
      <c r="R44" s="5">
        <v>0.89803844985461956</v>
      </c>
      <c r="S44" s="5">
        <v>0.92168764509190038</v>
      </c>
      <c r="U44" s="5">
        <v>0.90313644893217759</v>
      </c>
      <c r="V44" s="5">
        <v>0.92554545853637138</v>
      </c>
      <c r="X44" s="5">
        <v>0.894464157433006</v>
      </c>
      <c r="Y44" s="5">
        <v>0.91830107251207127</v>
      </c>
      <c r="AA44" s="5">
        <v>0.7184466019417477</v>
      </c>
      <c r="AB44" s="5">
        <v>0.75213351033567233</v>
      </c>
    </row>
    <row r="50" spans="1:10" x14ac:dyDescent="0.25">
      <c r="C50" t="s">
        <v>39</v>
      </c>
      <c r="D50" t="s">
        <v>40</v>
      </c>
      <c r="E50" t="s">
        <v>41</v>
      </c>
      <c r="F50" t="s">
        <v>42</v>
      </c>
      <c r="G50" t="s">
        <v>43</v>
      </c>
      <c r="H50" t="s">
        <v>44</v>
      </c>
      <c r="I50" t="s">
        <v>45</v>
      </c>
      <c r="J50" t="s">
        <v>46</v>
      </c>
    </row>
    <row r="51" spans="1:10" x14ac:dyDescent="0.25">
      <c r="A51" s="13" t="s">
        <v>31</v>
      </c>
      <c r="B51" t="s">
        <v>37</v>
      </c>
      <c r="C51" s="7"/>
      <c r="D51" s="7"/>
      <c r="E51" s="7"/>
      <c r="F51" s="7"/>
      <c r="G51" s="7"/>
      <c r="H51" s="7"/>
      <c r="I51" s="7"/>
      <c r="J51" s="7"/>
    </row>
    <row r="52" spans="1:10" x14ac:dyDescent="0.25">
      <c r="A52" s="13"/>
      <c r="B52" t="s">
        <v>38</v>
      </c>
      <c r="C52" s="7"/>
      <c r="D52" s="7"/>
      <c r="E52" s="7"/>
      <c r="F52" s="7"/>
      <c r="G52" s="7"/>
      <c r="H52" s="7"/>
      <c r="I52" s="7"/>
      <c r="J52" s="7"/>
    </row>
    <row r="53" spans="1:10" x14ac:dyDescent="0.25">
      <c r="A53" s="13" t="s">
        <v>32</v>
      </c>
      <c r="B53" t="s">
        <v>37</v>
      </c>
      <c r="C53" s="7"/>
      <c r="D53" s="7"/>
      <c r="E53" s="7"/>
      <c r="F53" s="7"/>
      <c r="G53" s="7"/>
      <c r="H53" s="7"/>
      <c r="I53" s="7"/>
      <c r="J53" s="7"/>
    </row>
    <row r="54" spans="1:10" x14ac:dyDescent="0.25">
      <c r="A54" s="13"/>
      <c r="B54" t="s">
        <v>38</v>
      </c>
      <c r="C54" s="7"/>
      <c r="D54" s="7"/>
      <c r="E54" s="7"/>
      <c r="F54" s="7"/>
      <c r="G54" s="7"/>
      <c r="H54" s="7"/>
      <c r="I54" s="7"/>
      <c r="J54" s="7"/>
    </row>
    <row r="55" spans="1:10" x14ac:dyDescent="0.25">
      <c r="A55" s="13" t="s">
        <v>47</v>
      </c>
      <c r="B55" t="s">
        <v>37</v>
      </c>
      <c r="C55" s="7"/>
      <c r="D55" s="7"/>
      <c r="E55" s="7"/>
      <c r="F55" s="5"/>
      <c r="G55" s="7"/>
      <c r="H55" s="5"/>
      <c r="I55" s="5"/>
      <c r="J55" s="7"/>
    </row>
    <row r="56" spans="1:10" x14ac:dyDescent="0.25">
      <c r="A56" s="13"/>
      <c r="B56" t="s">
        <v>38</v>
      </c>
      <c r="C56" s="7"/>
      <c r="D56" s="7"/>
      <c r="E56" s="7"/>
      <c r="F56" s="5"/>
      <c r="G56" s="7"/>
      <c r="H56" s="5"/>
      <c r="I56" s="5"/>
    </row>
    <row r="57" spans="1:10" x14ac:dyDescent="0.25">
      <c r="A57" s="13" t="s">
        <v>48</v>
      </c>
      <c r="B57" t="s">
        <v>37</v>
      </c>
      <c r="C57" s="7"/>
      <c r="D57" s="7"/>
      <c r="E57" s="7"/>
      <c r="F57" s="5"/>
      <c r="G57" s="7"/>
      <c r="H57" s="5"/>
      <c r="I57" s="5"/>
      <c r="J57" s="7"/>
    </row>
    <row r="58" spans="1:10" x14ac:dyDescent="0.25">
      <c r="A58" s="13"/>
      <c r="B58" t="s">
        <v>38</v>
      </c>
      <c r="C58" s="7"/>
      <c r="D58" s="7"/>
      <c r="E58" s="7"/>
      <c r="F58" s="5"/>
      <c r="G58" s="7"/>
      <c r="H58" s="5"/>
      <c r="I58" s="5"/>
      <c r="J58" s="7"/>
    </row>
  </sheetData>
  <mergeCells count="44">
    <mergeCell ref="F41:G41"/>
    <mergeCell ref="F36:G36"/>
    <mergeCell ref="I41:J41"/>
    <mergeCell ref="X36:Y36"/>
    <mergeCell ref="U6:V6"/>
    <mergeCell ref="AA6:AB6"/>
    <mergeCell ref="X6:Y6"/>
    <mergeCell ref="U11:V11"/>
    <mergeCell ref="A57:A58"/>
    <mergeCell ref="X11:Y11"/>
    <mergeCell ref="AA11:AB11"/>
    <mergeCell ref="F11:G11"/>
    <mergeCell ref="A51:A52"/>
    <mergeCell ref="A53:A54"/>
    <mergeCell ref="A55:A56"/>
    <mergeCell ref="X21:Y21"/>
    <mergeCell ref="AA26:AB26"/>
    <mergeCell ref="F31:G31"/>
    <mergeCell ref="I36:J36"/>
    <mergeCell ref="L41:M41"/>
    <mergeCell ref="AA41:AB41"/>
    <mergeCell ref="I6:J6"/>
    <mergeCell ref="L11:M11"/>
    <mergeCell ref="O16:P16"/>
    <mergeCell ref="R21:S21"/>
    <mergeCell ref="U26:V26"/>
    <mergeCell ref="X31:Y31"/>
    <mergeCell ref="AA36:AB36"/>
    <mergeCell ref="AA31:AB31"/>
    <mergeCell ref="U31:V31"/>
    <mergeCell ref="U16:V16"/>
    <mergeCell ref="L6:M6"/>
    <mergeCell ref="O11:P11"/>
    <mergeCell ref="R16:S16"/>
    <mergeCell ref="U21:V21"/>
    <mergeCell ref="X26:Y26"/>
    <mergeCell ref="F6:G6"/>
    <mergeCell ref="I11:J11"/>
    <mergeCell ref="L16:M16"/>
    <mergeCell ref="O21:P21"/>
    <mergeCell ref="R26:S26"/>
    <mergeCell ref="O6:P6"/>
    <mergeCell ref="R11:S11"/>
    <mergeCell ref="R6:S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740E0-AB31-418A-9407-5BD4DF1B7739}">
  <dimension ref="A1:AL137"/>
  <sheetViews>
    <sheetView workbookViewId="0">
      <selection activeCell="S120" sqref="S120"/>
    </sheetView>
  </sheetViews>
  <sheetFormatPr defaultRowHeight="15" x14ac:dyDescent="0.25"/>
  <sheetData>
    <row r="1" spans="1:38" x14ac:dyDescent="0.25">
      <c r="A1" t="s">
        <v>14</v>
      </c>
    </row>
    <row r="2" spans="1:38" x14ac:dyDescent="0.25">
      <c r="B2">
        <v>1</v>
      </c>
      <c r="C2" t="s">
        <v>0</v>
      </c>
      <c r="D2">
        <v>0</v>
      </c>
      <c r="E2" t="s">
        <v>1</v>
      </c>
      <c r="F2">
        <v>1.2125999999999999</v>
      </c>
      <c r="G2">
        <v>1.3915999999999999</v>
      </c>
      <c r="H2" t="s">
        <v>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38" x14ac:dyDescent="0.25">
      <c r="B3">
        <v>21</v>
      </c>
      <c r="C3" t="s">
        <v>0</v>
      </c>
      <c r="D3">
        <v>0</v>
      </c>
      <c r="E3" t="s">
        <v>1</v>
      </c>
      <c r="F3">
        <v>1.2246999999999999</v>
      </c>
      <c r="G3">
        <v>1.3672</v>
      </c>
      <c r="H3" t="s">
        <v>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38" x14ac:dyDescent="0.25">
      <c r="B4">
        <v>41</v>
      </c>
      <c r="C4" t="s">
        <v>0</v>
      </c>
      <c r="D4">
        <v>0</v>
      </c>
      <c r="E4" t="s">
        <v>1</v>
      </c>
      <c r="F4">
        <v>1.2405999999999999</v>
      </c>
      <c r="G4">
        <v>1.3394999999999999</v>
      </c>
      <c r="H4" t="s">
        <v>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38" x14ac:dyDescent="0.25">
      <c r="B5">
        <v>61</v>
      </c>
      <c r="C5" t="s">
        <v>0</v>
      </c>
      <c r="D5">
        <v>0</v>
      </c>
      <c r="E5" t="s">
        <v>1</v>
      </c>
      <c r="F5">
        <v>1.2488999999999999</v>
      </c>
      <c r="G5">
        <v>1.3280000000000001</v>
      </c>
      <c r="H5" t="s">
        <v>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38" x14ac:dyDescent="0.25">
      <c r="B6">
        <v>81</v>
      </c>
      <c r="C6" t="s">
        <v>0</v>
      </c>
      <c r="D6">
        <v>0</v>
      </c>
      <c r="E6" t="s">
        <v>1</v>
      </c>
      <c r="F6">
        <v>1.2342</v>
      </c>
      <c r="G6">
        <v>1.3489</v>
      </c>
      <c r="H6" t="s">
        <v>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38" x14ac:dyDescent="0.25">
      <c r="A7" t="s">
        <v>23</v>
      </c>
      <c r="F7">
        <v>1.2322</v>
      </c>
      <c r="G7">
        <v>1.35504</v>
      </c>
    </row>
    <row r="8" spans="1:38" x14ac:dyDescent="0.25">
      <c r="A8" t="s">
        <v>25</v>
      </c>
      <c r="F8">
        <v>1.2600476181478226E-2</v>
      </c>
      <c r="G8">
        <v>2.2337645354871202E-2</v>
      </c>
    </row>
    <row r="9" spans="1:38" x14ac:dyDescent="0.25">
      <c r="A9" t="s">
        <v>26</v>
      </c>
      <c r="F9">
        <v>39.805884934287491</v>
      </c>
      <c r="G9">
        <v>35.658294479425727</v>
      </c>
    </row>
    <row r="10" spans="1:38" x14ac:dyDescent="0.25">
      <c r="A10" t="s">
        <v>24</v>
      </c>
      <c r="F10">
        <v>1.056</v>
      </c>
      <c r="G10">
        <v>1.0528</v>
      </c>
    </row>
    <row r="11" spans="1:38" x14ac:dyDescent="0.25">
      <c r="A11" t="s">
        <v>30</v>
      </c>
      <c r="F11">
        <v>0.83314393939393949</v>
      </c>
      <c r="G11">
        <v>0.71291793313069896</v>
      </c>
    </row>
    <row r="13" spans="1:38" x14ac:dyDescent="0.25">
      <c r="A13" t="s">
        <v>15</v>
      </c>
    </row>
    <row r="14" spans="1:38" x14ac:dyDescent="0.25">
      <c r="B14">
        <v>3</v>
      </c>
      <c r="C14" t="s">
        <v>0</v>
      </c>
      <c r="D14">
        <v>0</v>
      </c>
      <c r="E14" t="s">
        <v>6</v>
      </c>
      <c r="F14">
        <v>0.10580000000000001</v>
      </c>
      <c r="G14">
        <v>0.1079</v>
      </c>
      <c r="H14" t="s">
        <v>3</v>
      </c>
      <c r="I14">
        <v>0.98609999999999998</v>
      </c>
      <c r="J14">
        <v>0.99860000000000004</v>
      </c>
      <c r="K14" t="s">
        <v>8</v>
      </c>
      <c r="L14">
        <v>0.27400000000000002</v>
      </c>
      <c r="M14">
        <v>0.27839999999999998</v>
      </c>
      <c r="N14" t="s">
        <v>9</v>
      </c>
      <c r="O14">
        <v>0.7782</v>
      </c>
      <c r="P14">
        <v>0.79079999999999995</v>
      </c>
      <c r="Q14" t="s">
        <v>10</v>
      </c>
      <c r="R14">
        <v>0.27550000000000002</v>
      </c>
      <c r="S14">
        <v>0.27910000000000001</v>
      </c>
      <c r="T14" t="s">
        <v>11</v>
      </c>
      <c r="U14">
        <v>0.77690000000000003</v>
      </c>
      <c r="V14">
        <v>0.79079999999999995</v>
      </c>
      <c r="W14" t="s">
        <v>12</v>
      </c>
      <c r="X14">
        <v>0.27560000000000001</v>
      </c>
      <c r="Y14">
        <v>0.27789999999999998</v>
      </c>
      <c r="Z14" t="s">
        <v>13</v>
      </c>
      <c r="AA14">
        <v>0.77829999999999999</v>
      </c>
      <c r="AB14">
        <v>0.79</v>
      </c>
      <c r="AD14" t="s">
        <v>27</v>
      </c>
      <c r="AE14" t="s">
        <v>29</v>
      </c>
      <c r="AF14" t="s">
        <v>27</v>
      </c>
      <c r="AG14" t="s">
        <v>29</v>
      </c>
      <c r="AI14" t="s">
        <v>28</v>
      </c>
      <c r="AJ14" t="s">
        <v>29</v>
      </c>
      <c r="AK14" t="s">
        <v>28</v>
      </c>
      <c r="AL14" t="s">
        <v>29</v>
      </c>
    </row>
    <row r="15" spans="1:38" x14ac:dyDescent="0.25">
      <c r="B15">
        <v>23</v>
      </c>
      <c r="C15" t="s">
        <v>0</v>
      </c>
      <c r="D15">
        <v>0</v>
      </c>
      <c r="E15" t="s">
        <v>6</v>
      </c>
      <c r="F15">
        <v>0.1057</v>
      </c>
      <c r="G15">
        <v>0.1075</v>
      </c>
      <c r="H15" t="s">
        <v>3</v>
      </c>
      <c r="I15">
        <v>0.98150000000000004</v>
      </c>
      <c r="J15">
        <v>0.99329999999999996</v>
      </c>
      <c r="K15" t="s">
        <v>8</v>
      </c>
      <c r="L15">
        <v>0.27139999999999997</v>
      </c>
      <c r="M15">
        <v>0.27760000000000001</v>
      </c>
      <c r="N15" t="s">
        <v>9</v>
      </c>
      <c r="O15">
        <v>0.77549999999999997</v>
      </c>
      <c r="P15">
        <v>0.78559999999999997</v>
      </c>
      <c r="Q15" t="s">
        <v>10</v>
      </c>
      <c r="R15">
        <v>0.2747</v>
      </c>
      <c r="S15">
        <v>0.27650000000000002</v>
      </c>
      <c r="T15" t="s">
        <v>11</v>
      </c>
      <c r="U15">
        <v>0.77949999999999997</v>
      </c>
      <c r="V15">
        <v>0.78659999999999997</v>
      </c>
      <c r="W15" t="s">
        <v>12</v>
      </c>
      <c r="X15">
        <v>0.2737</v>
      </c>
      <c r="Y15">
        <v>0.27600000000000002</v>
      </c>
      <c r="Z15" t="s">
        <v>13</v>
      </c>
      <c r="AA15">
        <v>0.77729999999999999</v>
      </c>
      <c r="AB15">
        <v>0.78310000000000002</v>
      </c>
      <c r="AD15">
        <v>0.27326666666666671</v>
      </c>
      <c r="AF15">
        <v>0.2767</v>
      </c>
    </row>
    <row r="16" spans="1:38" x14ac:dyDescent="0.25">
      <c r="B16">
        <v>43</v>
      </c>
      <c r="C16" t="s">
        <v>0</v>
      </c>
      <c r="D16">
        <v>0</v>
      </c>
      <c r="E16" t="s">
        <v>6</v>
      </c>
      <c r="F16">
        <v>0.10630000000000001</v>
      </c>
      <c r="G16">
        <v>0.1081</v>
      </c>
      <c r="H16" t="s">
        <v>3</v>
      </c>
      <c r="I16">
        <v>0.97919999999999996</v>
      </c>
      <c r="J16">
        <v>0.99980000000000002</v>
      </c>
      <c r="K16" t="s">
        <v>8</v>
      </c>
      <c r="L16">
        <v>0.27339999999999998</v>
      </c>
      <c r="M16">
        <v>0.27829999999999999</v>
      </c>
      <c r="N16" t="s">
        <v>9</v>
      </c>
      <c r="O16">
        <v>0.77749999999999997</v>
      </c>
      <c r="P16">
        <v>0.79149999999999998</v>
      </c>
      <c r="Q16" t="s">
        <v>10</v>
      </c>
      <c r="R16">
        <v>0.27479999999999999</v>
      </c>
      <c r="S16">
        <v>0.27939999999999998</v>
      </c>
      <c r="T16" t="s">
        <v>11</v>
      </c>
      <c r="U16">
        <v>0.77739999999999998</v>
      </c>
      <c r="V16">
        <v>0.78949999999999998</v>
      </c>
      <c r="W16" t="s">
        <v>12</v>
      </c>
      <c r="X16">
        <v>0.27379999999999999</v>
      </c>
      <c r="Y16">
        <v>0.27900000000000003</v>
      </c>
      <c r="Z16" t="s">
        <v>13</v>
      </c>
      <c r="AA16">
        <v>0.77639999999999998</v>
      </c>
      <c r="AB16">
        <v>0.78900000000000003</v>
      </c>
      <c r="AD16">
        <v>0.27400000000000002</v>
      </c>
      <c r="AF16">
        <v>0.27889999999999998</v>
      </c>
    </row>
    <row r="17" spans="1:32" x14ac:dyDescent="0.25">
      <c r="B17">
        <v>63</v>
      </c>
      <c r="C17" t="s">
        <v>0</v>
      </c>
      <c r="D17">
        <v>0</v>
      </c>
      <c r="E17" t="s">
        <v>6</v>
      </c>
      <c r="F17">
        <v>0.10489999999999999</v>
      </c>
      <c r="G17">
        <v>0.1091</v>
      </c>
      <c r="H17" t="s">
        <v>3</v>
      </c>
      <c r="I17">
        <v>0.96609999999999996</v>
      </c>
      <c r="J17">
        <v>0.98860000000000003</v>
      </c>
      <c r="K17" t="s">
        <v>8</v>
      </c>
      <c r="L17">
        <v>0.27389999999999998</v>
      </c>
      <c r="M17">
        <v>0.27889999999999998</v>
      </c>
      <c r="N17" t="s">
        <v>9</v>
      </c>
      <c r="O17">
        <v>0.77200000000000002</v>
      </c>
      <c r="P17">
        <v>0.78790000000000004</v>
      </c>
      <c r="Q17" t="s">
        <v>10</v>
      </c>
      <c r="R17">
        <v>0.27329999999999999</v>
      </c>
      <c r="S17">
        <v>0.28120000000000001</v>
      </c>
      <c r="T17" t="s">
        <v>11</v>
      </c>
      <c r="U17">
        <v>0.77780000000000005</v>
      </c>
      <c r="V17">
        <v>0.78859999999999997</v>
      </c>
      <c r="W17" t="s">
        <v>12</v>
      </c>
      <c r="X17">
        <v>0.27229999999999999</v>
      </c>
      <c r="Y17">
        <v>0.27879999999999999</v>
      </c>
      <c r="Z17" t="s">
        <v>13</v>
      </c>
      <c r="AA17">
        <v>0.77439999999999998</v>
      </c>
      <c r="AB17">
        <v>0.78859999999999997</v>
      </c>
      <c r="AD17">
        <v>0.27316666666666661</v>
      </c>
      <c r="AF17">
        <v>0.27963333333333334</v>
      </c>
    </row>
    <row r="18" spans="1:32" x14ac:dyDescent="0.25">
      <c r="B18">
        <v>83</v>
      </c>
      <c r="C18" t="s">
        <v>0</v>
      </c>
      <c r="D18">
        <v>0</v>
      </c>
      <c r="E18" t="s">
        <v>6</v>
      </c>
      <c r="F18">
        <v>0.1065</v>
      </c>
      <c r="G18">
        <v>0.1079</v>
      </c>
      <c r="H18" t="s">
        <v>3</v>
      </c>
      <c r="I18">
        <v>0.96689999999999998</v>
      </c>
      <c r="J18">
        <v>0.99119999999999997</v>
      </c>
      <c r="K18" t="s">
        <v>8</v>
      </c>
      <c r="L18">
        <v>0.27360000000000001</v>
      </c>
      <c r="M18">
        <v>0.27910000000000001</v>
      </c>
      <c r="N18" t="s">
        <v>9</v>
      </c>
      <c r="O18">
        <v>0.7722</v>
      </c>
      <c r="P18">
        <v>0.78939999999999999</v>
      </c>
      <c r="Q18" t="s">
        <v>10</v>
      </c>
      <c r="R18">
        <v>0.27500000000000002</v>
      </c>
      <c r="S18">
        <v>0.27910000000000001</v>
      </c>
      <c r="T18" t="s">
        <v>11</v>
      </c>
      <c r="U18">
        <v>0.77710000000000001</v>
      </c>
      <c r="V18">
        <v>0.79020000000000001</v>
      </c>
      <c r="W18" t="s">
        <v>12</v>
      </c>
      <c r="X18">
        <v>0.28349999999999997</v>
      </c>
      <c r="Y18">
        <v>0.2858</v>
      </c>
      <c r="Z18" t="s">
        <v>13</v>
      </c>
      <c r="AA18">
        <v>0.77649999999999997</v>
      </c>
      <c r="AB18">
        <v>0.79359999999999997</v>
      </c>
      <c r="AD18">
        <v>0.27736666666666665</v>
      </c>
      <c r="AF18">
        <v>0.28133333333333338</v>
      </c>
    </row>
    <row r="19" spans="1:32" x14ac:dyDescent="0.25">
      <c r="A19" t="s">
        <v>23</v>
      </c>
      <c r="F19">
        <v>0.10584</v>
      </c>
      <c r="G19">
        <v>0.1081</v>
      </c>
      <c r="I19">
        <v>0.97596000000000005</v>
      </c>
      <c r="J19">
        <v>0.99429999999999996</v>
      </c>
      <c r="L19">
        <v>0.27326</v>
      </c>
      <c r="M19">
        <v>0.27846000000000004</v>
      </c>
      <c r="O19">
        <v>0.77507999999999999</v>
      </c>
      <c r="P19">
        <v>0.78904000000000007</v>
      </c>
      <c r="R19">
        <v>0.27466000000000002</v>
      </c>
      <c r="S19">
        <v>0.27906000000000003</v>
      </c>
      <c r="U19">
        <v>0.77773999999999999</v>
      </c>
      <c r="V19">
        <v>0.78913999999999995</v>
      </c>
      <c r="X19">
        <v>0.27577999999999997</v>
      </c>
      <c r="Y19">
        <v>0.27950000000000003</v>
      </c>
      <c r="AA19">
        <v>0.77657999999999994</v>
      </c>
      <c r="AB19">
        <v>0.78886000000000012</v>
      </c>
      <c r="AD19">
        <v>0.27456666666666663</v>
      </c>
      <c r="AF19">
        <v>0.27900666666666668</v>
      </c>
    </row>
    <row r="20" spans="1:32" x14ac:dyDescent="0.25">
      <c r="A20" t="s">
        <v>25</v>
      </c>
      <c r="F20">
        <v>5.5713553108736717E-4</v>
      </c>
      <c r="G20">
        <v>5.366563145999515E-4</v>
      </c>
      <c r="I20">
        <v>8.0412934282987191E-3</v>
      </c>
      <c r="J20">
        <v>4.2857904755132506E-3</v>
      </c>
      <c r="L20">
        <v>9.5414883535013502E-4</v>
      </c>
      <c r="M20">
        <v>5.2383203414834876E-4</v>
      </c>
      <c r="O20">
        <v>2.5902895591033729E-3</v>
      </c>
      <c r="P20">
        <v>2.1171679196511483E-3</v>
      </c>
      <c r="R20">
        <v>7.3375745311377721E-4</v>
      </c>
      <c r="S20">
        <v>1.500133327407927E-3</v>
      </c>
      <c r="U20">
        <v>9.3080610225759048E-4</v>
      </c>
      <c r="V20">
        <v>1.4664242223858721E-3</v>
      </c>
      <c r="X20">
        <v>3.9996999887491501E-3</v>
      </c>
      <c r="Y20">
        <v>3.3238531856867523E-3</v>
      </c>
      <c r="AA20">
        <v>1.2859237924542862E-3</v>
      </c>
      <c r="AB20">
        <v>3.37733622844986E-3</v>
      </c>
    </row>
    <row r="21" spans="1:32" x14ac:dyDescent="0.25">
      <c r="A21" t="s">
        <v>26</v>
      </c>
      <c r="F21">
        <v>45.573779497727351</v>
      </c>
      <c r="G21">
        <v>46.08258900147387</v>
      </c>
      <c r="I21">
        <v>41.682122169116056</v>
      </c>
      <c r="J21">
        <v>47.309730081115681</v>
      </c>
      <c r="L21">
        <v>49.139198789471152</v>
      </c>
      <c r="M21">
        <v>54.511415305706379</v>
      </c>
      <c r="O21">
        <v>49.519964311721495</v>
      </c>
      <c r="P21">
        <v>51.426874307716048</v>
      </c>
      <c r="R21">
        <v>51.464857802267126</v>
      </c>
      <c r="S21">
        <v>45.391354606331795</v>
      </c>
      <c r="U21">
        <v>58.439504279011885</v>
      </c>
      <c r="V21">
        <v>54.61788863622612</v>
      </c>
      <c r="X21">
        <v>36.770707009265053</v>
      </c>
      <c r="Y21">
        <v>38.494799588743106</v>
      </c>
      <c r="AA21">
        <v>55.619419394949112</v>
      </c>
      <c r="AB21">
        <v>47.368512731250036</v>
      </c>
    </row>
    <row r="22" spans="1:32" x14ac:dyDescent="0.25">
      <c r="A22" t="s">
        <v>24</v>
      </c>
      <c r="F22">
        <v>0.13200000000000001</v>
      </c>
      <c r="G22">
        <v>0.13159999999999999</v>
      </c>
      <c r="I22">
        <v>1.0976999999999999</v>
      </c>
      <c r="J22">
        <v>1.0943000000000001</v>
      </c>
      <c r="L22">
        <v>0.30570000000000003</v>
      </c>
      <c r="M22">
        <v>0.30480000000000002</v>
      </c>
      <c r="O22">
        <v>0.83050000000000002</v>
      </c>
      <c r="P22">
        <v>0.82799999999999996</v>
      </c>
      <c r="R22">
        <v>0.30570000000000003</v>
      </c>
      <c r="S22">
        <v>0.30480000000000002</v>
      </c>
      <c r="U22">
        <v>0.83050000000000002</v>
      </c>
      <c r="V22">
        <v>0.82799999999999996</v>
      </c>
      <c r="X22">
        <v>0.30570000000000003</v>
      </c>
      <c r="Y22">
        <v>0.30480000000000002</v>
      </c>
      <c r="AA22">
        <v>0.83050000000000002</v>
      </c>
      <c r="AB22">
        <v>0.82799999999999996</v>
      </c>
    </row>
    <row r="23" spans="1:32" x14ac:dyDescent="0.25">
      <c r="A23" t="s">
        <v>30</v>
      </c>
      <c r="F23">
        <v>0.75283446712018143</v>
      </c>
      <c r="G23">
        <v>0.78260869565217395</v>
      </c>
      <c r="I23">
        <v>0.87526128120004931</v>
      </c>
      <c r="J23">
        <v>0.89942673237453474</v>
      </c>
      <c r="L23">
        <v>0.88128522286467093</v>
      </c>
      <c r="M23">
        <v>0.90540831717302317</v>
      </c>
      <c r="O23">
        <v>0.92849770346286831</v>
      </c>
      <c r="P23">
        <v>0.9506235425326981</v>
      </c>
      <c r="R23">
        <v>0.88698754824146209</v>
      </c>
      <c r="S23">
        <v>0.90776177166200822</v>
      </c>
      <c r="U23">
        <v>0.93216241931750965</v>
      </c>
      <c r="V23">
        <v>0.95075651975568343</v>
      </c>
      <c r="X23">
        <v>0.8915077235477552</v>
      </c>
      <c r="Y23">
        <v>0.90948121645796065</v>
      </c>
      <c r="AA23">
        <v>0.93056735944783531</v>
      </c>
      <c r="AB23">
        <v>0.95038409857262396</v>
      </c>
    </row>
    <row r="25" spans="1:32" x14ac:dyDescent="0.25">
      <c r="A25" t="s">
        <v>16</v>
      </c>
    </row>
    <row r="26" spans="1:32" x14ac:dyDescent="0.25">
      <c r="B26">
        <v>5</v>
      </c>
      <c r="C26" t="s">
        <v>0</v>
      </c>
      <c r="D26">
        <v>0</v>
      </c>
      <c r="E26" t="s">
        <v>6</v>
      </c>
      <c r="F26">
        <v>0.86309999999999998</v>
      </c>
      <c r="G26">
        <v>0.87780000000000002</v>
      </c>
      <c r="H26" t="s">
        <v>3</v>
      </c>
      <c r="I26">
        <v>0.1055</v>
      </c>
      <c r="J26">
        <v>0.1067</v>
      </c>
      <c r="K26" t="s">
        <v>8</v>
      </c>
      <c r="L26">
        <v>0.93</v>
      </c>
      <c r="M26">
        <v>0.94299999999999995</v>
      </c>
      <c r="N26" t="s">
        <v>9</v>
      </c>
      <c r="O26">
        <v>0.3624</v>
      </c>
      <c r="P26">
        <v>0.36630000000000001</v>
      </c>
      <c r="Q26" t="s">
        <v>10</v>
      </c>
      <c r="R26">
        <v>0.87370000000000003</v>
      </c>
      <c r="S26">
        <v>0.88590000000000002</v>
      </c>
      <c r="T26" t="s">
        <v>11</v>
      </c>
      <c r="U26">
        <v>0.3634</v>
      </c>
      <c r="V26">
        <v>0.36830000000000002</v>
      </c>
      <c r="W26" t="s">
        <v>12</v>
      </c>
      <c r="X26">
        <v>0.86350000000000005</v>
      </c>
      <c r="Y26">
        <v>0.87890000000000001</v>
      </c>
      <c r="Z26" t="s">
        <v>13</v>
      </c>
      <c r="AA26">
        <v>0.36330000000000001</v>
      </c>
      <c r="AB26">
        <v>0.36770000000000003</v>
      </c>
    </row>
    <row r="27" spans="1:32" x14ac:dyDescent="0.25">
      <c r="B27">
        <v>25</v>
      </c>
      <c r="C27" t="s">
        <v>0</v>
      </c>
      <c r="D27">
        <v>0</v>
      </c>
      <c r="E27" t="s">
        <v>6</v>
      </c>
      <c r="F27">
        <v>0.86739999999999995</v>
      </c>
      <c r="G27">
        <v>0.88229999999999997</v>
      </c>
      <c r="H27" t="s">
        <v>3</v>
      </c>
      <c r="I27">
        <v>0.10580000000000001</v>
      </c>
      <c r="J27">
        <v>0.10780000000000001</v>
      </c>
      <c r="K27" t="s">
        <v>8</v>
      </c>
      <c r="L27">
        <v>0.93369999999999997</v>
      </c>
      <c r="M27">
        <v>0.94779999999999998</v>
      </c>
      <c r="N27" t="s">
        <v>9</v>
      </c>
      <c r="O27">
        <v>0.36299999999999999</v>
      </c>
      <c r="P27">
        <v>0.37180000000000002</v>
      </c>
      <c r="Q27" t="s">
        <v>10</v>
      </c>
      <c r="R27">
        <v>0.86819999999999997</v>
      </c>
      <c r="S27">
        <v>0.88300000000000001</v>
      </c>
      <c r="T27" t="s">
        <v>11</v>
      </c>
      <c r="U27">
        <v>0.36370000000000002</v>
      </c>
      <c r="V27">
        <v>0.36840000000000001</v>
      </c>
      <c r="W27" t="s">
        <v>12</v>
      </c>
      <c r="X27">
        <v>0.86470000000000002</v>
      </c>
      <c r="Y27">
        <v>0.87890000000000001</v>
      </c>
      <c r="Z27" t="s">
        <v>13</v>
      </c>
      <c r="AA27">
        <v>0.36209999999999998</v>
      </c>
      <c r="AB27">
        <v>0.37430000000000002</v>
      </c>
    </row>
    <row r="28" spans="1:32" x14ac:dyDescent="0.25">
      <c r="B28">
        <v>45</v>
      </c>
      <c r="C28" t="s">
        <v>0</v>
      </c>
      <c r="D28">
        <v>0</v>
      </c>
      <c r="E28" t="s">
        <v>6</v>
      </c>
      <c r="F28">
        <v>0.86529999999999996</v>
      </c>
      <c r="G28">
        <v>0.87960000000000005</v>
      </c>
      <c r="H28" t="s">
        <v>3</v>
      </c>
      <c r="I28">
        <v>0.1057</v>
      </c>
      <c r="J28">
        <v>0.1065</v>
      </c>
      <c r="K28" t="s">
        <v>8</v>
      </c>
      <c r="L28">
        <v>0.92720000000000002</v>
      </c>
      <c r="M28">
        <v>0.94479999999999997</v>
      </c>
      <c r="N28" t="s">
        <v>9</v>
      </c>
      <c r="O28">
        <v>0.36320000000000002</v>
      </c>
      <c r="P28">
        <v>0.37130000000000002</v>
      </c>
      <c r="Q28" t="s">
        <v>10</v>
      </c>
      <c r="R28">
        <v>0.86299999999999999</v>
      </c>
      <c r="S28">
        <v>0.88200000000000001</v>
      </c>
      <c r="T28" t="s">
        <v>11</v>
      </c>
      <c r="U28">
        <v>0.36620000000000003</v>
      </c>
      <c r="V28">
        <v>0.37069999999999997</v>
      </c>
      <c r="W28" t="s">
        <v>12</v>
      </c>
      <c r="X28">
        <v>0.86339999999999995</v>
      </c>
      <c r="Y28">
        <v>0.87570000000000003</v>
      </c>
      <c r="Z28" t="s">
        <v>13</v>
      </c>
      <c r="AA28">
        <v>0.35580000000000001</v>
      </c>
      <c r="AB28">
        <v>0.37059999999999998</v>
      </c>
    </row>
    <row r="29" spans="1:32" x14ac:dyDescent="0.25">
      <c r="B29">
        <v>65</v>
      </c>
      <c r="C29" t="s">
        <v>0</v>
      </c>
      <c r="D29">
        <v>0</v>
      </c>
      <c r="E29" t="s">
        <v>6</v>
      </c>
      <c r="F29">
        <v>0.86499999999999999</v>
      </c>
      <c r="G29">
        <v>0.87980000000000003</v>
      </c>
      <c r="H29" t="s">
        <v>3</v>
      </c>
      <c r="I29">
        <v>0.1055</v>
      </c>
      <c r="J29">
        <v>0.1077</v>
      </c>
      <c r="K29" t="s">
        <v>8</v>
      </c>
      <c r="L29">
        <v>0.92249999999999999</v>
      </c>
      <c r="M29">
        <v>0.93940000000000001</v>
      </c>
      <c r="N29" t="s">
        <v>9</v>
      </c>
      <c r="O29">
        <v>0.36409999999999998</v>
      </c>
      <c r="P29">
        <v>0.36959999999999998</v>
      </c>
      <c r="Q29" t="s">
        <v>10</v>
      </c>
      <c r="R29">
        <v>0.86639999999999995</v>
      </c>
      <c r="S29">
        <v>0.88039999999999996</v>
      </c>
      <c r="T29" t="s">
        <v>11</v>
      </c>
      <c r="U29">
        <v>0.3649</v>
      </c>
      <c r="V29">
        <v>0.36859999999999998</v>
      </c>
      <c r="W29" t="s">
        <v>12</v>
      </c>
      <c r="X29">
        <v>0.86270000000000002</v>
      </c>
      <c r="Y29">
        <v>0.87760000000000005</v>
      </c>
      <c r="Z29" t="s">
        <v>13</v>
      </c>
      <c r="AA29">
        <v>0.36980000000000002</v>
      </c>
      <c r="AB29">
        <v>0.37090000000000001</v>
      </c>
    </row>
    <row r="30" spans="1:32" x14ac:dyDescent="0.25">
      <c r="B30">
        <v>85</v>
      </c>
      <c r="C30" t="s">
        <v>0</v>
      </c>
      <c r="D30">
        <v>0</v>
      </c>
      <c r="E30" t="s">
        <v>6</v>
      </c>
      <c r="F30">
        <v>0.86270000000000002</v>
      </c>
      <c r="G30">
        <v>0.87670000000000003</v>
      </c>
      <c r="H30" t="s">
        <v>3</v>
      </c>
      <c r="I30">
        <v>0.1056</v>
      </c>
      <c r="J30">
        <v>0.10730000000000001</v>
      </c>
      <c r="K30" t="s">
        <v>8</v>
      </c>
      <c r="L30">
        <v>0.91549999999999998</v>
      </c>
      <c r="M30">
        <v>0.93289999999999995</v>
      </c>
      <c r="N30" t="s">
        <v>9</v>
      </c>
      <c r="O30">
        <v>0.3629</v>
      </c>
      <c r="P30">
        <v>0.36919999999999997</v>
      </c>
      <c r="Q30" t="s">
        <v>10</v>
      </c>
      <c r="R30">
        <v>0.86050000000000004</v>
      </c>
      <c r="S30">
        <v>0.87749999999999995</v>
      </c>
      <c r="T30" t="s">
        <v>11</v>
      </c>
      <c r="U30">
        <v>0.36309999999999998</v>
      </c>
      <c r="V30">
        <v>0.36859999999999998</v>
      </c>
      <c r="W30" t="s">
        <v>12</v>
      </c>
      <c r="X30">
        <v>0.85919999999999996</v>
      </c>
      <c r="Y30">
        <v>0.874</v>
      </c>
      <c r="Z30" t="s">
        <v>13</v>
      </c>
      <c r="AA30">
        <v>0.36359999999999998</v>
      </c>
      <c r="AB30">
        <v>0.36919999999999997</v>
      </c>
    </row>
    <row r="31" spans="1:32" x14ac:dyDescent="0.25">
      <c r="A31" t="s">
        <v>23</v>
      </c>
      <c r="F31">
        <v>0.86470000000000002</v>
      </c>
      <c r="G31">
        <v>0.87924000000000002</v>
      </c>
      <c r="I31">
        <v>0.10562000000000001</v>
      </c>
      <c r="J31">
        <v>0.1072</v>
      </c>
      <c r="L31">
        <v>0.92577999999999994</v>
      </c>
      <c r="M31">
        <v>0.94157999999999986</v>
      </c>
      <c r="O31">
        <v>0.36312</v>
      </c>
      <c r="P31">
        <v>0.36963999999999997</v>
      </c>
      <c r="R31">
        <v>0.86635999999999991</v>
      </c>
      <c r="S31">
        <v>0.88175999999999988</v>
      </c>
      <c r="U31">
        <v>0.36426000000000003</v>
      </c>
      <c r="V31">
        <v>0.36892000000000003</v>
      </c>
      <c r="X31">
        <v>0.86269999999999991</v>
      </c>
      <c r="Y31">
        <v>0.87702000000000013</v>
      </c>
      <c r="AA31">
        <v>0.36292000000000002</v>
      </c>
      <c r="AB31">
        <v>0.37053999999999998</v>
      </c>
    </row>
    <row r="32" spans="1:32" x14ac:dyDescent="0.25">
      <c r="A32" t="s">
        <v>25</v>
      </c>
      <c r="F32">
        <v>1.6911534525287555E-3</v>
      </c>
      <c r="G32">
        <v>1.9147845831842104E-3</v>
      </c>
      <c r="I32">
        <v>1.1661903789690934E-4</v>
      </c>
      <c r="J32">
        <v>5.2153619241621465E-4</v>
      </c>
      <c r="L32">
        <v>6.3085339025799108E-3</v>
      </c>
      <c r="M32">
        <v>5.1218746568029204E-3</v>
      </c>
      <c r="O32">
        <v>5.5641710972973606E-4</v>
      </c>
      <c r="P32">
        <v>1.9376274151652621E-3</v>
      </c>
      <c r="R32">
        <v>4.5363421387721609E-3</v>
      </c>
      <c r="S32">
        <v>2.7832355272236933E-3</v>
      </c>
      <c r="U32">
        <v>1.1464728518373317E-3</v>
      </c>
      <c r="V32">
        <v>8.9755222689266419E-4</v>
      </c>
      <c r="X32">
        <v>1.8644033898274452E-3</v>
      </c>
      <c r="Y32">
        <v>1.9114392483152627E-3</v>
      </c>
      <c r="AA32">
        <v>4.4566355022595287E-3</v>
      </c>
      <c r="AB32">
        <v>2.1969069165533655E-3</v>
      </c>
    </row>
    <row r="33" spans="1:28" x14ac:dyDescent="0.25">
      <c r="A33" t="s">
        <v>26</v>
      </c>
      <c r="F33">
        <v>54.173648848222129</v>
      </c>
      <c r="G33">
        <v>53.239750309365384</v>
      </c>
      <c r="I33">
        <v>59.139534179347095</v>
      </c>
      <c r="J33">
        <v>46.258206666792994</v>
      </c>
      <c r="L33">
        <v>43.331587059452914</v>
      </c>
      <c r="M33">
        <v>45.288565579610946</v>
      </c>
      <c r="O33">
        <v>56.292993874587403</v>
      </c>
      <c r="P33">
        <v>45.610173819399265</v>
      </c>
      <c r="R33">
        <v>45.619851805259856</v>
      </c>
      <c r="S33">
        <v>50.016008685175777</v>
      </c>
      <c r="U33">
        <v>50.040954160861723</v>
      </c>
      <c r="V33">
        <v>52.277449423859245</v>
      </c>
      <c r="X33">
        <v>53.306398282991232</v>
      </c>
      <c r="Y33">
        <v>53.232979960934514</v>
      </c>
      <c r="AA33">
        <v>38.216075731825512</v>
      </c>
      <c r="AB33">
        <v>44.540468820475574</v>
      </c>
    </row>
    <row r="34" spans="1:28" x14ac:dyDescent="0.25">
      <c r="A34" t="s">
        <v>24</v>
      </c>
      <c r="F34">
        <v>0.92410000000000003</v>
      </c>
      <c r="G34">
        <v>0.92130000000000001</v>
      </c>
      <c r="I34">
        <v>0.13200000000000001</v>
      </c>
      <c r="J34">
        <v>0.13159999999999999</v>
      </c>
      <c r="L34">
        <v>0.99960000000000004</v>
      </c>
      <c r="M34">
        <v>0.99650000000000005</v>
      </c>
      <c r="O34">
        <v>0.3992</v>
      </c>
      <c r="P34">
        <v>0.39800000000000002</v>
      </c>
      <c r="R34">
        <v>0.92410000000000003</v>
      </c>
      <c r="S34">
        <v>0.92130000000000001</v>
      </c>
      <c r="U34">
        <v>0.3992</v>
      </c>
      <c r="V34">
        <v>0.39800000000000002</v>
      </c>
      <c r="X34">
        <v>0.92410000000000003</v>
      </c>
      <c r="Y34">
        <v>0.92130000000000001</v>
      </c>
      <c r="AA34">
        <v>0.3992</v>
      </c>
      <c r="AB34">
        <v>0.39800000000000002</v>
      </c>
    </row>
    <row r="35" spans="1:28" x14ac:dyDescent="0.25">
      <c r="A35" t="s">
        <v>30</v>
      </c>
      <c r="F35">
        <v>0.93130565514051111</v>
      </c>
      <c r="G35">
        <v>0.95216323188207996</v>
      </c>
      <c r="I35">
        <v>0.75023669759515244</v>
      </c>
      <c r="J35">
        <v>0.7723880597014926</v>
      </c>
      <c r="L35">
        <v>0.92026183326492239</v>
      </c>
      <c r="M35">
        <v>0.94167250791223245</v>
      </c>
      <c r="O35">
        <v>0.90063890724829254</v>
      </c>
      <c r="P35">
        <v>0.92327670165566478</v>
      </c>
      <c r="R35">
        <v>0.9333533404127613</v>
      </c>
      <c r="S35">
        <v>0.95515786608600961</v>
      </c>
      <c r="U35">
        <v>0.90407950365123824</v>
      </c>
      <c r="V35">
        <v>0.92117532256315737</v>
      </c>
      <c r="X35">
        <v>0.92882809783238651</v>
      </c>
      <c r="Y35">
        <v>0.94951084353834592</v>
      </c>
      <c r="AA35">
        <v>0.9000330651383226</v>
      </c>
      <c r="AB35">
        <v>0.92589194149079712</v>
      </c>
    </row>
    <row r="37" spans="1:28" x14ac:dyDescent="0.25">
      <c r="A37" t="s">
        <v>17</v>
      </c>
    </row>
    <row r="38" spans="1:28" x14ac:dyDescent="0.25">
      <c r="B38">
        <v>7</v>
      </c>
      <c r="C38" t="s">
        <v>0</v>
      </c>
      <c r="D38">
        <v>0</v>
      </c>
      <c r="E38" t="s">
        <v>6</v>
      </c>
      <c r="F38">
        <v>0.18590000000000001</v>
      </c>
      <c r="G38">
        <v>0.18640000000000001</v>
      </c>
      <c r="H38" t="s">
        <v>3</v>
      </c>
      <c r="I38">
        <v>0.6855</v>
      </c>
      <c r="J38">
        <v>0.69640000000000002</v>
      </c>
      <c r="K38" t="s">
        <v>8</v>
      </c>
      <c r="L38">
        <v>0.1053</v>
      </c>
      <c r="M38">
        <v>0.1075</v>
      </c>
      <c r="N38" t="s">
        <v>9</v>
      </c>
      <c r="O38">
        <v>0.79910000000000003</v>
      </c>
      <c r="P38">
        <v>0.81030000000000002</v>
      </c>
      <c r="Q38" t="s">
        <v>10</v>
      </c>
      <c r="R38">
        <v>0.1832</v>
      </c>
      <c r="S38">
        <v>0.18759999999999999</v>
      </c>
      <c r="T38" t="s">
        <v>11</v>
      </c>
      <c r="U38">
        <v>0.68440000000000001</v>
      </c>
      <c r="V38">
        <v>0.69630000000000003</v>
      </c>
      <c r="W38" t="s">
        <v>12</v>
      </c>
      <c r="X38">
        <v>0.18240000000000001</v>
      </c>
      <c r="Y38">
        <v>0.186</v>
      </c>
      <c r="Z38" t="s">
        <v>13</v>
      </c>
      <c r="AA38">
        <v>0.68769999999999998</v>
      </c>
      <c r="AB38">
        <v>0.69810000000000005</v>
      </c>
    </row>
    <row r="39" spans="1:28" x14ac:dyDescent="0.25">
      <c r="B39">
        <v>27</v>
      </c>
      <c r="C39" t="s">
        <v>0</v>
      </c>
      <c r="D39">
        <v>0</v>
      </c>
      <c r="E39" t="s">
        <v>6</v>
      </c>
      <c r="F39">
        <v>0.18360000000000001</v>
      </c>
      <c r="G39">
        <v>0.1862</v>
      </c>
      <c r="H39" t="s">
        <v>3</v>
      </c>
      <c r="I39">
        <v>0.68489999999999995</v>
      </c>
      <c r="J39">
        <v>0.69769999999999999</v>
      </c>
      <c r="K39" t="s">
        <v>8</v>
      </c>
      <c r="L39">
        <v>0.10580000000000001</v>
      </c>
      <c r="M39">
        <v>0.1074</v>
      </c>
      <c r="N39" t="s">
        <v>9</v>
      </c>
      <c r="O39">
        <v>0.80149999999999999</v>
      </c>
      <c r="P39">
        <v>0.81379999999999997</v>
      </c>
      <c r="Q39" t="s">
        <v>10</v>
      </c>
      <c r="R39">
        <v>0.18340000000000001</v>
      </c>
      <c r="S39">
        <v>0.18609999999999999</v>
      </c>
      <c r="T39" t="s">
        <v>11</v>
      </c>
      <c r="U39">
        <v>0.68410000000000004</v>
      </c>
      <c r="V39">
        <v>0.69699999999999995</v>
      </c>
      <c r="W39" t="s">
        <v>12</v>
      </c>
      <c r="X39">
        <v>0.1825</v>
      </c>
      <c r="Y39">
        <v>0.18579999999999999</v>
      </c>
      <c r="Z39" t="s">
        <v>13</v>
      </c>
      <c r="AA39">
        <v>0.6855</v>
      </c>
      <c r="AB39">
        <v>0.69540000000000002</v>
      </c>
    </row>
    <row r="40" spans="1:28" x14ac:dyDescent="0.25">
      <c r="B40">
        <v>47</v>
      </c>
      <c r="C40" t="s">
        <v>0</v>
      </c>
      <c r="D40">
        <v>0</v>
      </c>
      <c r="E40" t="s">
        <v>6</v>
      </c>
      <c r="F40">
        <v>0.183</v>
      </c>
      <c r="G40">
        <v>0.18640000000000001</v>
      </c>
      <c r="H40" t="s">
        <v>3</v>
      </c>
      <c r="I40">
        <v>0.6865</v>
      </c>
      <c r="J40">
        <v>0.6966</v>
      </c>
      <c r="K40" t="s">
        <v>8</v>
      </c>
      <c r="L40">
        <v>0.10580000000000001</v>
      </c>
      <c r="M40">
        <v>0.108</v>
      </c>
      <c r="N40" t="s">
        <v>9</v>
      </c>
      <c r="O40">
        <v>0.80049999999999999</v>
      </c>
      <c r="P40">
        <v>0.81359999999999999</v>
      </c>
      <c r="Q40" t="s">
        <v>10</v>
      </c>
      <c r="R40">
        <v>0.18290000000000001</v>
      </c>
      <c r="S40">
        <v>0.1862</v>
      </c>
      <c r="T40" t="s">
        <v>11</v>
      </c>
      <c r="U40">
        <v>0.68620000000000003</v>
      </c>
      <c r="V40">
        <v>0.69820000000000004</v>
      </c>
      <c r="W40" t="s">
        <v>12</v>
      </c>
      <c r="X40">
        <v>0.1822</v>
      </c>
      <c r="Y40">
        <v>0.18529999999999999</v>
      </c>
      <c r="Z40" t="s">
        <v>13</v>
      </c>
      <c r="AA40">
        <v>0.6835</v>
      </c>
      <c r="AB40">
        <v>0.69799999999999995</v>
      </c>
    </row>
    <row r="41" spans="1:28" x14ac:dyDescent="0.25">
      <c r="B41">
        <v>67</v>
      </c>
      <c r="C41" t="s">
        <v>0</v>
      </c>
      <c r="D41">
        <v>0</v>
      </c>
      <c r="E41" t="s">
        <v>6</v>
      </c>
      <c r="F41">
        <v>0.1837</v>
      </c>
      <c r="G41">
        <v>0.18709999999999999</v>
      </c>
      <c r="H41" t="s">
        <v>3</v>
      </c>
      <c r="I41">
        <v>0.68489999999999995</v>
      </c>
      <c r="J41">
        <v>0.6966</v>
      </c>
      <c r="K41" t="s">
        <v>8</v>
      </c>
      <c r="L41">
        <v>0.1045</v>
      </c>
      <c r="M41">
        <v>0.10780000000000001</v>
      </c>
      <c r="N41" t="s">
        <v>9</v>
      </c>
      <c r="O41">
        <v>0.79979999999999996</v>
      </c>
      <c r="P41">
        <v>0.81420000000000003</v>
      </c>
      <c r="Q41" t="s">
        <v>10</v>
      </c>
      <c r="R41">
        <v>0.18240000000000001</v>
      </c>
      <c r="S41">
        <v>0.187</v>
      </c>
      <c r="T41" t="s">
        <v>11</v>
      </c>
      <c r="U41">
        <v>0.68600000000000005</v>
      </c>
      <c r="V41">
        <v>0.69779999999999998</v>
      </c>
      <c r="W41" t="s">
        <v>12</v>
      </c>
      <c r="X41">
        <v>0.1825</v>
      </c>
      <c r="Y41">
        <v>0.18590000000000001</v>
      </c>
      <c r="Z41" t="s">
        <v>13</v>
      </c>
      <c r="AA41">
        <v>0.68279999999999996</v>
      </c>
      <c r="AB41">
        <v>0.69630000000000003</v>
      </c>
    </row>
    <row r="42" spans="1:28" x14ac:dyDescent="0.25">
      <c r="B42">
        <v>87</v>
      </c>
      <c r="C42" t="s">
        <v>0</v>
      </c>
      <c r="D42">
        <v>0</v>
      </c>
      <c r="E42" t="s">
        <v>6</v>
      </c>
      <c r="F42">
        <v>0.18410000000000001</v>
      </c>
      <c r="G42">
        <v>0.18729999999999999</v>
      </c>
      <c r="H42" t="s">
        <v>3</v>
      </c>
      <c r="I42">
        <v>0.68440000000000001</v>
      </c>
      <c r="J42">
        <v>0.69789999999999996</v>
      </c>
      <c r="K42" t="s">
        <v>8</v>
      </c>
      <c r="L42">
        <v>0.10630000000000001</v>
      </c>
      <c r="M42">
        <v>0.10780000000000001</v>
      </c>
      <c r="N42" t="s">
        <v>9</v>
      </c>
      <c r="O42">
        <v>0.80640000000000001</v>
      </c>
      <c r="P42">
        <v>0.8155</v>
      </c>
      <c r="Q42" t="s">
        <v>10</v>
      </c>
      <c r="R42">
        <v>0.18279999999999999</v>
      </c>
      <c r="S42">
        <v>0.18690000000000001</v>
      </c>
      <c r="T42" t="s">
        <v>11</v>
      </c>
      <c r="U42">
        <v>0.68300000000000005</v>
      </c>
      <c r="V42">
        <v>0.70109999999999995</v>
      </c>
      <c r="W42" t="s">
        <v>12</v>
      </c>
      <c r="X42">
        <v>0.18290000000000001</v>
      </c>
      <c r="Y42">
        <v>0.18559999999999999</v>
      </c>
      <c r="Z42" t="s">
        <v>13</v>
      </c>
      <c r="AA42">
        <v>0.6875</v>
      </c>
      <c r="AB42">
        <v>0.69740000000000002</v>
      </c>
    </row>
    <row r="43" spans="1:28" x14ac:dyDescent="0.25">
      <c r="A43" t="s">
        <v>23</v>
      </c>
      <c r="F43">
        <v>0.18406</v>
      </c>
      <c r="G43">
        <v>0.18668000000000001</v>
      </c>
      <c r="I43">
        <v>0.68524000000000007</v>
      </c>
      <c r="J43">
        <v>0.69703999999999999</v>
      </c>
      <c r="L43">
        <v>0.10554000000000001</v>
      </c>
      <c r="M43">
        <v>0.10769999999999999</v>
      </c>
      <c r="O43">
        <v>0.80145999999999995</v>
      </c>
      <c r="P43">
        <v>0.81347999999999998</v>
      </c>
      <c r="R43">
        <v>0.18294000000000002</v>
      </c>
      <c r="S43">
        <v>0.18675999999999998</v>
      </c>
      <c r="U43">
        <v>0.68474000000000002</v>
      </c>
      <c r="V43">
        <v>0.69807999999999992</v>
      </c>
      <c r="X43">
        <v>0.18250000000000002</v>
      </c>
      <c r="Y43">
        <v>0.18572000000000002</v>
      </c>
      <c r="AA43">
        <v>0.68540000000000001</v>
      </c>
      <c r="AB43">
        <v>0.69703999999999999</v>
      </c>
    </row>
    <row r="44" spans="1:28" x14ac:dyDescent="0.25">
      <c r="A44" t="s">
        <v>25</v>
      </c>
      <c r="F44">
        <v>9.8508882848198339E-4</v>
      </c>
      <c r="G44">
        <v>4.3543082114153741E-4</v>
      </c>
      <c r="I44">
        <v>7.2000000000000644E-4</v>
      </c>
      <c r="J44">
        <v>6.2801273872428785E-4</v>
      </c>
      <c r="L44">
        <v>6.0860496218812096E-4</v>
      </c>
      <c r="M44">
        <v>2.1908902300206892E-4</v>
      </c>
      <c r="O44">
        <v>2.5943014474035229E-3</v>
      </c>
      <c r="P44">
        <v>1.7220917513303354E-3</v>
      </c>
      <c r="R44">
        <v>3.4409301068170591E-4</v>
      </c>
      <c r="S44">
        <v>5.5353410012392104E-4</v>
      </c>
      <c r="U44">
        <v>1.2059850745345063E-3</v>
      </c>
      <c r="V44">
        <v>1.6460862674841613E-3</v>
      </c>
      <c r="X44">
        <v>2.2803508501982925E-4</v>
      </c>
      <c r="Y44">
        <v>2.4819347291982159E-4</v>
      </c>
      <c r="AA44">
        <v>2.0039960079800611E-3</v>
      </c>
      <c r="AB44">
        <v>1.0403845442911901E-3</v>
      </c>
    </row>
    <row r="45" spans="1:28" x14ac:dyDescent="0.25">
      <c r="A45" t="s">
        <v>26</v>
      </c>
      <c r="F45">
        <v>45.429680475225602</v>
      </c>
      <c r="G45">
        <v>52.643572514242038</v>
      </c>
      <c r="I45">
        <v>59.570204199632769</v>
      </c>
      <c r="J45">
        <v>60.90578495782885</v>
      </c>
      <c r="L45">
        <v>44.781632016723087</v>
      </c>
      <c r="M45">
        <v>53.831901692203658</v>
      </c>
      <c r="O45">
        <v>49.797228282206888</v>
      </c>
      <c r="P45">
        <v>53.485811868926298</v>
      </c>
      <c r="R45">
        <v>54.512656471111455</v>
      </c>
      <c r="S45">
        <v>50.562789695569712</v>
      </c>
      <c r="U45">
        <v>55.083675311211486</v>
      </c>
      <c r="V45">
        <v>52.549052076489254</v>
      </c>
      <c r="X45">
        <v>58.06522393950182</v>
      </c>
      <c r="Y45">
        <v>57.48136637823832</v>
      </c>
      <c r="AA45">
        <v>50.680944960507304</v>
      </c>
      <c r="AB45">
        <v>56.52127618462476</v>
      </c>
    </row>
    <row r="46" spans="1:28" x14ac:dyDescent="0.25">
      <c r="A46" t="s">
        <v>24</v>
      </c>
      <c r="F46">
        <v>0.20760000000000001</v>
      </c>
      <c r="G46">
        <v>0.2069</v>
      </c>
      <c r="I46">
        <v>0.73260000000000003</v>
      </c>
      <c r="J46">
        <v>0.73029999999999995</v>
      </c>
      <c r="L46">
        <v>0.13200000000000001</v>
      </c>
      <c r="M46">
        <v>0.13159999999999999</v>
      </c>
      <c r="O46">
        <v>0.84719999999999995</v>
      </c>
      <c r="P46">
        <v>0.84460000000000002</v>
      </c>
      <c r="R46">
        <v>0.20760000000000001</v>
      </c>
      <c r="S46">
        <v>0.2069</v>
      </c>
      <c r="U46">
        <v>0.73260000000000003</v>
      </c>
      <c r="V46">
        <v>0.73029999999999995</v>
      </c>
      <c r="X46">
        <v>0.20760000000000001</v>
      </c>
      <c r="Y46">
        <v>0.2069</v>
      </c>
      <c r="AA46">
        <v>0.73260000000000003</v>
      </c>
      <c r="AB46">
        <v>0.73029999999999995</v>
      </c>
    </row>
    <row r="47" spans="1:28" x14ac:dyDescent="0.25">
      <c r="A47" t="s">
        <v>30</v>
      </c>
      <c r="F47">
        <v>0.87210692165598169</v>
      </c>
      <c r="G47">
        <v>0.89168630812084859</v>
      </c>
      <c r="I47">
        <v>0.93088552915766742</v>
      </c>
      <c r="J47">
        <v>0.95228394353265244</v>
      </c>
      <c r="L47">
        <v>0.74928936895963627</v>
      </c>
      <c r="M47">
        <v>0.77808727948003709</v>
      </c>
      <c r="O47">
        <v>0.94292915429341451</v>
      </c>
      <c r="P47">
        <v>0.96174460343216794</v>
      </c>
      <c r="R47">
        <v>0.86520170547720576</v>
      </c>
      <c r="S47">
        <v>0.8921610623259798</v>
      </c>
      <c r="U47">
        <v>0.9301048573181061</v>
      </c>
      <c r="V47">
        <v>0.95384483153793254</v>
      </c>
      <c r="X47">
        <v>0.86246575342465759</v>
      </c>
      <c r="Y47">
        <v>0.88595735515830298</v>
      </c>
      <c r="AA47">
        <v>0.93113510358914497</v>
      </c>
      <c r="AB47">
        <v>0.95228394353265244</v>
      </c>
    </row>
    <row r="49" spans="1:28" x14ac:dyDescent="0.25">
      <c r="A49" t="s">
        <v>18</v>
      </c>
    </row>
    <row r="50" spans="1:28" x14ac:dyDescent="0.25">
      <c r="B50">
        <v>9</v>
      </c>
      <c r="C50" t="s">
        <v>0</v>
      </c>
      <c r="D50">
        <v>0</v>
      </c>
      <c r="E50" t="s">
        <v>6</v>
      </c>
      <c r="F50">
        <v>0.72570000000000001</v>
      </c>
      <c r="G50">
        <v>0.73719999999999997</v>
      </c>
      <c r="H50" t="s">
        <v>3</v>
      </c>
      <c r="I50">
        <v>0.21959999999999999</v>
      </c>
      <c r="J50">
        <v>0.2253</v>
      </c>
      <c r="K50" t="s">
        <v>8</v>
      </c>
      <c r="L50">
        <v>0.72230000000000005</v>
      </c>
      <c r="M50">
        <v>0.73729999999999996</v>
      </c>
      <c r="N50" t="s">
        <v>9</v>
      </c>
      <c r="O50">
        <v>0.1086</v>
      </c>
      <c r="P50">
        <v>0.11</v>
      </c>
      <c r="Q50" t="s">
        <v>10</v>
      </c>
      <c r="R50">
        <v>0.85880000000000001</v>
      </c>
      <c r="S50">
        <v>0.87339999999999995</v>
      </c>
      <c r="T50" t="s">
        <v>11</v>
      </c>
      <c r="U50">
        <v>0.2198</v>
      </c>
      <c r="V50">
        <v>0.2271</v>
      </c>
      <c r="W50" t="s">
        <v>12</v>
      </c>
      <c r="X50">
        <v>0.72289999999999999</v>
      </c>
      <c r="Y50">
        <v>0.73550000000000004</v>
      </c>
      <c r="Z50" t="s">
        <v>13</v>
      </c>
      <c r="AA50">
        <v>0.22320000000000001</v>
      </c>
      <c r="AB50">
        <v>0.22409999999999999</v>
      </c>
    </row>
    <row r="51" spans="1:28" x14ac:dyDescent="0.25">
      <c r="B51">
        <v>29</v>
      </c>
      <c r="C51" t="s">
        <v>0</v>
      </c>
      <c r="D51">
        <v>0</v>
      </c>
      <c r="E51" t="s">
        <v>6</v>
      </c>
      <c r="F51">
        <v>0.7238</v>
      </c>
      <c r="G51">
        <v>0.73919999999999997</v>
      </c>
      <c r="H51" t="s">
        <v>3</v>
      </c>
      <c r="I51">
        <v>0.2215</v>
      </c>
      <c r="J51">
        <v>0.2261</v>
      </c>
      <c r="K51" t="s">
        <v>8</v>
      </c>
      <c r="L51">
        <v>0.71519999999999995</v>
      </c>
      <c r="M51">
        <v>0.73460000000000003</v>
      </c>
      <c r="N51" t="s">
        <v>9</v>
      </c>
      <c r="O51">
        <v>0.1082</v>
      </c>
      <c r="P51">
        <v>0.1105</v>
      </c>
      <c r="Q51" t="s">
        <v>10</v>
      </c>
      <c r="R51">
        <v>0.86140000000000005</v>
      </c>
      <c r="S51">
        <v>0.87690000000000001</v>
      </c>
      <c r="T51" t="s">
        <v>11</v>
      </c>
      <c r="U51">
        <v>0.2228</v>
      </c>
      <c r="V51">
        <v>0.22470000000000001</v>
      </c>
      <c r="W51" t="s">
        <v>12</v>
      </c>
      <c r="X51">
        <v>0.72550000000000003</v>
      </c>
      <c r="Y51">
        <v>0.73529999999999995</v>
      </c>
      <c r="Z51" t="s">
        <v>13</v>
      </c>
      <c r="AA51">
        <v>0.2228</v>
      </c>
      <c r="AB51">
        <v>0.2271</v>
      </c>
    </row>
    <row r="52" spans="1:28" x14ac:dyDescent="0.25">
      <c r="B52">
        <v>49</v>
      </c>
      <c r="C52" t="s">
        <v>0</v>
      </c>
      <c r="D52">
        <v>0</v>
      </c>
      <c r="E52" t="s">
        <v>6</v>
      </c>
      <c r="F52">
        <v>0.72529999999999994</v>
      </c>
      <c r="G52">
        <v>0.73960000000000004</v>
      </c>
      <c r="H52" t="s">
        <v>3</v>
      </c>
      <c r="I52">
        <v>0.22120000000000001</v>
      </c>
      <c r="J52">
        <v>0.2248</v>
      </c>
      <c r="K52" t="s">
        <v>8</v>
      </c>
      <c r="L52">
        <v>0.72330000000000005</v>
      </c>
      <c r="M52">
        <v>0.73670000000000002</v>
      </c>
      <c r="N52" t="s">
        <v>9</v>
      </c>
      <c r="O52">
        <v>0.1082</v>
      </c>
      <c r="P52">
        <v>0.1101</v>
      </c>
      <c r="Q52" t="s">
        <v>10</v>
      </c>
      <c r="R52">
        <v>0.86260000000000003</v>
      </c>
      <c r="S52">
        <v>0.87880000000000003</v>
      </c>
      <c r="T52" t="s">
        <v>11</v>
      </c>
      <c r="U52">
        <v>0.22120000000000001</v>
      </c>
      <c r="V52">
        <v>0.2271</v>
      </c>
      <c r="W52" t="s">
        <v>12</v>
      </c>
      <c r="X52">
        <v>0.72199999999999998</v>
      </c>
      <c r="Y52">
        <v>0.73740000000000006</v>
      </c>
      <c r="Z52" t="s">
        <v>13</v>
      </c>
      <c r="AA52">
        <v>0.22409999999999999</v>
      </c>
      <c r="AB52">
        <v>0.22800000000000001</v>
      </c>
    </row>
    <row r="53" spans="1:28" x14ac:dyDescent="0.25">
      <c r="B53">
        <v>69</v>
      </c>
      <c r="C53" t="s">
        <v>0</v>
      </c>
      <c r="D53">
        <v>0</v>
      </c>
      <c r="E53" t="s">
        <v>6</v>
      </c>
      <c r="F53">
        <v>0.72450000000000003</v>
      </c>
      <c r="G53">
        <v>0.73929999999999996</v>
      </c>
      <c r="H53" t="s">
        <v>3</v>
      </c>
      <c r="I53">
        <v>0.22270000000000001</v>
      </c>
      <c r="J53">
        <v>0.2258</v>
      </c>
      <c r="K53" t="s">
        <v>8</v>
      </c>
      <c r="L53">
        <v>0.72319999999999995</v>
      </c>
      <c r="M53">
        <v>0.73629999999999995</v>
      </c>
      <c r="N53" t="s">
        <v>9</v>
      </c>
      <c r="O53">
        <v>0.108</v>
      </c>
      <c r="P53">
        <v>0.10979999999999999</v>
      </c>
      <c r="Q53" t="s">
        <v>10</v>
      </c>
      <c r="R53">
        <v>0.86409999999999998</v>
      </c>
      <c r="S53">
        <v>0.87929999999999997</v>
      </c>
      <c r="T53" t="s">
        <v>11</v>
      </c>
      <c r="U53">
        <v>0.2235</v>
      </c>
      <c r="V53">
        <v>0.22600000000000001</v>
      </c>
      <c r="W53" t="s">
        <v>12</v>
      </c>
      <c r="X53">
        <v>0.72470000000000001</v>
      </c>
      <c r="Y53">
        <v>0.73609999999999998</v>
      </c>
      <c r="Z53" t="s">
        <v>13</v>
      </c>
      <c r="AA53">
        <v>0.21970000000000001</v>
      </c>
      <c r="AB53">
        <v>0.21740000000000001</v>
      </c>
    </row>
    <row r="54" spans="1:28" x14ac:dyDescent="0.25">
      <c r="B54">
        <v>89</v>
      </c>
      <c r="C54" t="s">
        <v>0</v>
      </c>
      <c r="D54">
        <v>0</v>
      </c>
      <c r="E54" t="s">
        <v>6</v>
      </c>
      <c r="F54">
        <v>0.72570000000000001</v>
      </c>
      <c r="G54">
        <v>0.73699999999999999</v>
      </c>
      <c r="H54" t="s">
        <v>3</v>
      </c>
      <c r="I54">
        <v>0.22220000000000001</v>
      </c>
      <c r="J54">
        <v>0.22600000000000001</v>
      </c>
      <c r="K54" t="s">
        <v>8</v>
      </c>
      <c r="L54">
        <v>0.7238</v>
      </c>
      <c r="M54">
        <v>0.73640000000000005</v>
      </c>
      <c r="N54" t="s">
        <v>9</v>
      </c>
      <c r="O54">
        <v>0.1082</v>
      </c>
      <c r="P54">
        <v>0.11020000000000001</v>
      </c>
      <c r="Q54" t="s">
        <v>10</v>
      </c>
      <c r="R54">
        <v>0.86370000000000002</v>
      </c>
      <c r="S54">
        <v>0.87839999999999996</v>
      </c>
      <c r="T54" t="s">
        <v>11</v>
      </c>
      <c r="U54">
        <v>0.22109999999999999</v>
      </c>
      <c r="V54">
        <v>0.22570000000000001</v>
      </c>
      <c r="W54" t="s">
        <v>12</v>
      </c>
      <c r="X54">
        <v>0.7238</v>
      </c>
      <c r="Y54">
        <v>0.73570000000000002</v>
      </c>
      <c r="Z54" t="s">
        <v>13</v>
      </c>
      <c r="AA54">
        <v>0.2225</v>
      </c>
      <c r="AB54">
        <v>0.22639999999999999</v>
      </c>
    </row>
    <row r="55" spans="1:28" x14ac:dyDescent="0.25">
      <c r="A55" t="s">
        <v>23</v>
      </c>
      <c r="F55">
        <v>0.72499999999999998</v>
      </c>
      <c r="G55">
        <v>0.73846000000000012</v>
      </c>
      <c r="I55">
        <v>0.22144</v>
      </c>
      <c r="J55">
        <v>0.22560000000000002</v>
      </c>
      <c r="L55">
        <v>0.72155999999999998</v>
      </c>
      <c r="M55">
        <v>0.73626000000000003</v>
      </c>
      <c r="O55">
        <v>0.10824</v>
      </c>
      <c r="P55">
        <v>0.11012</v>
      </c>
      <c r="R55">
        <v>0.86212</v>
      </c>
      <c r="S55">
        <v>0.87736000000000003</v>
      </c>
      <c r="U55">
        <v>0.22168000000000002</v>
      </c>
      <c r="V55">
        <v>0.22611999999999996</v>
      </c>
      <c r="X55">
        <v>0.72377999999999998</v>
      </c>
      <c r="Y55">
        <v>0.73599999999999999</v>
      </c>
      <c r="AA55">
        <v>0.22246000000000002</v>
      </c>
      <c r="AB55">
        <v>0.22459999999999999</v>
      </c>
    </row>
    <row r="56" spans="1:28" x14ac:dyDescent="0.25">
      <c r="A56" t="s">
        <v>25</v>
      </c>
      <c r="F56">
        <v>7.4296702484026426E-4</v>
      </c>
      <c r="G56">
        <v>1.1200000000000071E-3</v>
      </c>
      <c r="I56">
        <v>1.059433811051929E-3</v>
      </c>
      <c r="J56">
        <v>4.8579831205964496E-4</v>
      </c>
      <c r="L56">
        <v>3.216582036883275E-3</v>
      </c>
      <c r="M56">
        <v>9.0022219479413373E-4</v>
      </c>
      <c r="O56">
        <v>1.9595917942265479E-4</v>
      </c>
      <c r="P56">
        <v>2.3151673805580657E-4</v>
      </c>
      <c r="R56">
        <v>1.9072493282211371E-3</v>
      </c>
      <c r="S56">
        <v>2.1359775279716883E-3</v>
      </c>
      <c r="U56">
        <v>1.3166624472506256E-3</v>
      </c>
      <c r="V56">
        <v>9.0862533532803762E-4</v>
      </c>
      <c r="X56">
        <v>1.2448293055676545E-3</v>
      </c>
      <c r="Y56">
        <v>7.4833147735480973E-4</v>
      </c>
      <c r="AA56">
        <v>1.4813507349712934E-3</v>
      </c>
      <c r="AB56">
        <v>3.8246568473524491E-3</v>
      </c>
    </row>
    <row r="57" spans="1:28" x14ac:dyDescent="0.25">
      <c r="A57" t="s">
        <v>26</v>
      </c>
      <c r="F57">
        <v>59.787369354127932</v>
      </c>
      <c r="G57">
        <v>56.382179065628684</v>
      </c>
      <c r="I57">
        <v>46.403644875330187</v>
      </c>
      <c r="J57">
        <v>53.337661876525019</v>
      </c>
      <c r="L57">
        <v>47.017556352207478</v>
      </c>
      <c r="M57">
        <v>58.253629806311842</v>
      </c>
      <c r="O57">
        <v>54.844443428116001</v>
      </c>
      <c r="P57">
        <v>53.545676157498079</v>
      </c>
      <c r="R57">
        <v>53.103204992937862</v>
      </c>
      <c r="S57">
        <v>52.271623023465956</v>
      </c>
      <c r="U57">
        <v>44.525041272365875</v>
      </c>
      <c r="V57">
        <v>47.919082692930317</v>
      </c>
      <c r="X57">
        <v>55.289935487013658</v>
      </c>
      <c r="Y57">
        <v>59.855676016687724</v>
      </c>
      <c r="AA57">
        <v>43.53188071174764</v>
      </c>
      <c r="AB57">
        <v>35.376345521848719</v>
      </c>
    </row>
    <row r="58" spans="1:28" x14ac:dyDescent="0.25">
      <c r="A58" t="s">
        <v>24</v>
      </c>
      <c r="F58">
        <v>0.77159999999999995</v>
      </c>
      <c r="G58">
        <v>0.76929999999999998</v>
      </c>
      <c r="I58">
        <v>0.24660000000000001</v>
      </c>
      <c r="J58">
        <v>0.24590000000000001</v>
      </c>
      <c r="L58">
        <v>0.77159999999999995</v>
      </c>
      <c r="M58">
        <v>0.76929999999999998</v>
      </c>
      <c r="O58">
        <v>0.13200000000000001</v>
      </c>
      <c r="P58">
        <v>0.13159999999999999</v>
      </c>
      <c r="R58">
        <v>0.90939999999999999</v>
      </c>
      <c r="S58">
        <v>0.90669999999999995</v>
      </c>
      <c r="U58">
        <v>0.24660000000000001</v>
      </c>
      <c r="V58">
        <v>0.24590000000000001</v>
      </c>
      <c r="X58">
        <v>0.77159999999999995</v>
      </c>
      <c r="Y58">
        <v>0.76929999999999998</v>
      </c>
      <c r="AA58">
        <v>0.24660000000000001</v>
      </c>
      <c r="AB58">
        <v>0.24590000000000001</v>
      </c>
    </row>
    <row r="59" spans="1:28" x14ac:dyDescent="0.25">
      <c r="A59" t="s">
        <v>30</v>
      </c>
      <c r="F59">
        <v>0.93572413793103448</v>
      </c>
      <c r="G59">
        <v>0.95823741299461063</v>
      </c>
      <c r="I59">
        <v>0.88638005780346818</v>
      </c>
      <c r="J59">
        <v>0.91001773049645396</v>
      </c>
      <c r="L59">
        <v>0.93065025777482124</v>
      </c>
      <c r="M59">
        <v>0.95512454839323069</v>
      </c>
      <c r="O59">
        <v>0.78048780487804881</v>
      </c>
      <c r="P59">
        <v>0.80494006538321827</v>
      </c>
      <c r="R59">
        <v>0.94515844661996007</v>
      </c>
      <c r="S59">
        <v>0.9665587672107232</v>
      </c>
      <c r="U59">
        <v>0.8875857091302779</v>
      </c>
      <c r="V59">
        <v>0.91252432336812284</v>
      </c>
      <c r="X59">
        <v>0.9339301997844649</v>
      </c>
      <c r="Y59">
        <v>0.95475543478260871</v>
      </c>
      <c r="AA59">
        <v>0.89148610986244725</v>
      </c>
      <c r="AB59">
        <v>0.90516473731077463</v>
      </c>
    </row>
    <row r="61" spans="1:28" x14ac:dyDescent="0.25">
      <c r="A61" t="s">
        <v>19</v>
      </c>
    </row>
    <row r="62" spans="1:28" x14ac:dyDescent="0.25">
      <c r="B62">
        <v>11</v>
      </c>
      <c r="C62" t="s">
        <v>0</v>
      </c>
      <c r="D62">
        <v>0</v>
      </c>
      <c r="E62" t="s">
        <v>6</v>
      </c>
      <c r="F62">
        <v>0.2422</v>
      </c>
      <c r="G62">
        <v>0.2455</v>
      </c>
      <c r="H62" t="s">
        <v>3</v>
      </c>
      <c r="I62">
        <v>0.74270000000000003</v>
      </c>
      <c r="J62">
        <v>0.75170000000000003</v>
      </c>
      <c r="K62" t="s">
        <v>8</v>
      </c>
      <c r="L62">
        <v>0.2359</v>
      </c>
      <c r="M62">
        <v>0.24279999999999999</v>
      </c>
      <c r="N62" t="s">
        <v>9</v>
      </c>
      <c r="O62">
        <v>0.73929999999999996</v>
      </c>
      <c r="P62">
        <v>0.75219999999999998</v>
      </c>
      <c r="Q62" t="s">
        <v>10</v>
      </c>
      <c r="R62">
        <v>0.1033</v>
      </c>
      <c r="S62">
        <v>0.105</v>
      </c>
      <c r="T62" t="s">
        <v>11</v>
      </c>
      <c r="U62">
        <v>0.93569999999999998</v>
      </c>
      <c r="V62">
        <v>0.95030000000000003</v>
      </c>
      <c r="W62" t="s">
        <v>12</v>
      </c>
      <c r="X62">
        <v>0.2392</v>
      </c>
      <c r="Y62">
        <v>0.24229999999999999</v>
      </c>
      <c r="Z62" t="s">
        <v>13</v>
      </c>
      <c r="AA62">
        <v>0.73160000000000003</v>
      </c>
      <c r="AB62">
        <v>0.74829999999999997</v>
      </c>
    </row>
    <row r="63" spans="1:28" x14ac:dyDescent="0.25">
      <c r="B63">
        <v>31</v>
      </c>
      <c r="C63" t="s">
        <v>0</v>
      </c>
      <c r="D63">
        <v>0</v>
      </c>
      <c r="E63" t="s">
        <v>6</v>
      </c>
      <c r="F63">
        <v>0.2387</v>
      </c>
      <c r="G63">
        <v>0.24440000000000001</v>
      </c>
      <c r="H63" t="s">
        <v>3</v>
      </c>
      <c r="I63">
        <v>0.74070000000000003</v>
      </c>
      <c r="J63">
        <v>0.75470000000000004</v>
      </c>
      <c r="K63" t="s">
        <v>8</v>
      </c>
      <c r="L63">
        <v>0.2399</v>
      </c>
      <c r="M63">
        <v>0.24429999999999999</v>
      </c>
      <c r="N63" t="s">
        <v>9</v>
      </c>
      <c r="O63">
        <v>0.74260000000000004</v>
      </c>
      <c r="P63">
        <v>0.75780000000000003</v>
      </c>
      <c r="Q63" t="s">
        <v>10</v>
      </c>
      <c r="R63">
        <v>0.10299999999999999</v>
      </c>
      <c r="S63">
        <v>0.10489999999999999</v>
      </c>
      <c r="T63" t="s">
        <v>11</v>
      </c>
      <c r="U63">
        <v>0.94269999999999998</v>
      </c>
      <c r="V63">
        <v>0.96089999999999998</v>
      </c>
      <c r="W63" t="s">
        <v>12</v>
      </c>
      <c r="X63">
        <v>0.2404</v>
      </c>
      <c r="Y63">
        <v>0.2445</v>
      </c>
      <c r="Z63" t="s">
        <v>13</v>
      </c>
      <c r="AA63">
        <v>0.74239999999999995</v>
      </c>
      <c r="AB63">
        <v>0.75829999999999997</v>
      </c>
    </row>
    <row r="64" spans="1:28" x14ac:dyDescent="0.25">
      <c r="B64">
        <v>51</v>
      </c>
      <c r="C64" t="s">
        <v>0</v>
      </c>
      <c r="D64">
        <v>0</v>
      </c>
      <c r="E64" t="s">
        <v>6</v>
      </c>
      <c r="F64">
        <v>0.2412</v>
      </c>
      <c r="G64">
        <v>0.24579999999999999</v>
      </c>
      <c r="H64" t="s">
        <v>3</v>
      </c>
      <c r="I64">
        <v>0.74260000000000004</v>
      </c>
      <c r="J64">
        <v>0.7591</v>
      </c>
      <c r="K64" t="s">
        <v>8</v>
      </c>
      <c r="L64">
        <v>0.23880000000000001</v>
      </c>
      <c r="M64">
        <v>0.2445</v>
      </c>
      <c r="N64" t="s">
        <v>9</v>
      </c>
      <c r="O64">
        <v>0.74380000000000002</v>
      </c>
      <c r="P64">
        <v>0.75670000000000004</v>
      </c>
      <c r="Q64" t="s">
        <v>10</v>
      </c>
      <c r="R64">
        <v>0.1031</v>
      </c>
      <c r="S64">
        <v>0.1045</v>
      </c>
      <c r="T64" t="s">
        <v>11</v>
      </c>
      <c r="U64">
        <v>0.94579999999999997</v>
      </c>
      <c r="V64">
        <v>0.96160000000000001</v>
      </c>
      <c r="W64" t="s">
        <v>12</v>
      </c>
      <c r="X64">
        <v>0.2404</v>
      </c>
      <c r="Y64">
        <v>0.2424</v>
      </c>
      <c r="Z64" t="s">
        <v>13</v>
      </c>
      <c r="AA64">
        <v>0.74319999999999997</v>
      </c>
      <c r="AB64">
        <v>0.74870000000000003</v>
      </c>
    </row>
    <row r="65" spans="1:28" x14ac:dyDescent="0.25">
      <c r="B65">
        <v>71</v>
      </c>
      <c r="C65" t="s">
        <v>0</v>
      </c>
      <c r="D65">
        <v>0</v>
      </c>
      <c r="E65" t="s">
        <v>6</v>
      </c>
      <c r="F65">
        <v>0.2422</v>
      </c>
      <c r="G65">
        <v>0.24690000000000001</v>
      </c>
      <c r="H65" t="s">
        <v>3</v>
      </c>
      <c r="I65">
        <v>0.74270000000000003</v>
      </c>
      <c r="J65">
        <v>0.75219999999999998</v>
      </c>
      <c r="K65" t="s">
        <v>8</v>
      </c>
      <c r="L65">
        <v>0.23799999999999999</v>
      </c>
      <c r="M65">
        <v>0.24410000000000001</v>
      </c>
      <c r="N65" t="s">
        <v>9</v>
      </c>
      <c r="O65">
        <v>0.74399999999999999</v>
      </c>
      <c r="P65">
        <v>0.75470000000000004</v>
      </c>
      <c r="Q65" t="s">
        <v>10</v>
      </c>
      <c r="R65">
        <v>0.10349999999999999</v>
      </c>
      <c r="S65">
        <v>0.1038</v>
      </c>
      <c r="T65" t="s">
        <v>11</v>
      </c>
      <c r="U65">
        <v>0.95220000000000005</v>
      </c>
      <c r="V65">
        <v>0.96730000000000005</v>
      </c>
      <c r="W65" t="s">
        <v>12</v>
      </c>
      <c r="X65">
        <v>0.2419</v>
      </c>
      <c r="Y65">
        <v>0.24429999999999999</v>
      </c>
      <c r="Z65" t="s">
        <v>13</v>
      </c>
      <c r="AA65">
        <v>0.74339999999999995</v>
      </c>
      <c r="AB65">
        <v>0.75690000000000002</v>
      </c>
    </row>
    <row r="66" spans="1:28" x14ac:dyDescent="0.25">
      <c r="B66">
        <v>91</v>
      </c>
      <c r="C66" t="s">
        <v>0</v>
      </c>
      <c r="D66">
        <v>0</v>
      </c>
      <c r="E66" t="s">
        <v>6</v>
      </c>
      <c r="F66">
        <v>0.2399</v>
      </c>
      <c r="G66">
        <v>0.24329999999999999</v>
      </c>
      <c r="H66" t="s">
        <v>3</v>
      </c>
      <c r="I66">
        <v>0.74139999999999995</v>
      </c>
      <c r="J66">
        <v>0.75009999999999999</v>
      </c>
      <c r="K66" t="s">
        <v>8</v>
      </c>
      <c r="L66">
        <v>0.23830000000000001</v>
      </c>
      <c r="M66">
        <v>0.23910000000000001</v>
      </c>
      <c r="N66" t="s">
        <v>9</v>
      </c>
      <c r="O66">
        <v>0.7419</v>
      </c>
      <c r="P66">
        <v>0.75319999999999998</v>
      </c>
      <c r="Q66" t="s">
        <v>10</v>
      </c>
      <c r="R66">
        <v>0.104</v>
      </c>
      <c r="S66">
        <v>0.10390000000000001</v>
      </c>
      <c r="T66" t="s">
        <v>11</v>
      </c>
      <c r="U66">
        <v>0.94389999999999996</v>
      </c>
      <c r="V66">
        <v>0.95679999999999998</v>
      </c>
      <c r="W66" t="s">
        <v>12</v>
      </c>
      <c r="X66">
        <v>0.24210000000000001</v>
      </c>
      <c r="Y66">
        <v>0.24440000000000001</v>
      </c>
      <c r="Z66" t="s">
        <v>13</v>
      </c>
      <c r="AA66">
        <v>0.75029999999999997</v>
      </c>
      <c r="AB66">
        <v>0.751</v>
      </c>
    </row>
    <row r="67" spans="1:28" x14ac:dyDescent="0.25">
      <c r="A67" t="s">
        <v>23</v>
      </c>
      <c r="F67">
        <v>0.24084</v>
      </c>
      <c r="G67">
        <v>0.24518000000000001</v>
      </c>
      <c r="I67">
        <v>0.74202000000000001</v>
      </c>
      <c r="J67">
        <v>0.75356000000000001</v>
      </c>
      <c r="L67">
        <v>0.23818</v>
      </c>
      <c r="M67">
        <v>0.24296000000000001</v>
      </c>
      <c r="O67">
        <v>0.74231999999999998</v>
      </c>
      <c r="P67">
        <v>0.75492000000000004</v>
      </c>
      <c r="R67">
        <v>0.10338</v>
      </c>
      <c r="S67">
        <v>0.10442</v>
      </c>
      <c r="U67">
        <v>0.94406000000000001</v>
      </c>
      <c r="V67">
        <v>0.95938000000000001</v>
      </c>
      <c r="X67">
        <v>0.24079999999999999</v>
      </c>
      <c r="Y67">
        <v>0.24357999999999999</v>
      </c>
      <c r="AA67">
        <v>0.74217999999999995</v>
      </c>
      <c r="AB67">
        <v>0.75263999999999998</v>
      </c>
    </row>
    <row r="68" spans="1:28" x14ac:dyDescent="0.25">
      <c r="A68" t="s">
        <v>25</v>
      </c>
      <c r="F68">
        <v>1.3632314550361582E-3</v>
      </c>
      <c r="G68">
        <v>1.2319090875547634E-3</v>
      </c>
      <c r="I68">
        <v>8.2316462509028122E-4</v>
      </c>
      <c r="J68">
        <v>3.13917186531735E-3</v>
      </c>
      <c r="L68">
        <v>1.3105723940324727E-3</v>
      </c>
      <c r="M68">
        <v>2.0195048898182908E-3</v>
      </c>
      <c r="O68">
        <v>1.6963490206912202E-3</v>
      </c>
      <c r="P68">
        <v>2.0913153755471921E-3</v>
      </c>
      <c r="R68">
        <v>3.5440090293338653E-4</v>
      </c>
      <c r="S68">
        <v>4.9558046773455022E-4</v>
      </c>
      <c r="U68">
        <v>5.311346345325282E-3</v>
      </c>
      <c r="V68">
        <v>5.6403545987818932E-3</v>
      </c>
      <c r="X68">
        <v>1.075174404457253E-3</v>
      </c>
      <c r="Y68">
        <v>1.0067770358922583E-3</v>
      </c>
      <c r="AA68">
        <v>6.0074620265133374E-3</v>
      </c>
      <c r="AB68">
        <v>4.1768887943061132E-3</v>
      </c>
    </row>
    <row r="69" spans="1:28" x14ac:dyDescent="0.25">
      <c r="A69" t="s">
        <v>26</v>
      </c>
      <c r="F69">
        <v>44.943180402780413</v>
      </c>
      <c r="G69">
        <v>45.978127635356842</v>
      </c>
      <c r="I69">
        <v>59.09857825021318</v>
      </c>
      <c r="J69">
        <v>47.606054881516819</v>
      </c>
      <c r="L69">
        <v>45.188885504194339</v>
      </c>
      <c r="M69">
        <v>41.605797396952269</v>
      </c>
      <c r="O69">
        <v>52.821518986191059</v>
      </c>
      <c r="P69">
        <v>51.149628015817527</v>
      </c>
      <c r="R69">
        <v>49.298834162621681</v>
      </c>
      <c r="S69">
        <v>46.473390152802708</v>
      </c>
      <c r="U69">
        <v>44.995899496339874</v>
      </c>
      <c r="V69">
        <v>44.613685048673247</v>
      </c>
      <c r="X69">
        <v>47.003551310870606</v>
      </c>
      <c r="Y69">
        <v>47.674166503958695</v>
      </c>
      <c r="AA69">
        <v>41.836364253453169</v>
      </c>
      <c r="AB69">
        <v>45.11468765965472</v>
      </c>
    </row>
    <row r="70" spans="1:28" x14ac:dyDescent="0.25">
      <c r="A70" t="s">
        <v>24</v>
      </c>
      <c r="F70">
        <v>0.26979999999999998</v>
      </c>
      <c r="G70">
        <v>0.26900000000000002</v>
      </c>
      <c r="I70">
        <v>0.79469999999999996</v>
      </c>
      <c r="J70">
        <v>0.79220000000000002</v>
      </c>
      <c r="L70">
        <v>0.26979999999999998</v>
      </c>
      <c r="M70">
        <v>0.26900000000000002</v>
      </c>
      <c r="O70">
        <v>0.79469999999999996</v>
      </c>
      <c r="P70">
        <v>0.79220000000000002</v>
      </c>
      <c r="R70">
        <v>0.13200000000000001</v>
      </c>
      <c r="S70">
        <v>0.13159999999999999</v>
      </c>
      <c r="U70">
        <v>1.0407</v>
      </c>
      <c r="V70">
        <v>1.0375000000000001</v>
      </c>
      <c r="X70">
        <v>0.26979999999999998</v>
      </c>
      <c r="Y70">
        <v>0.26900000000000002</v>
      </c>
      <c r="AA70">
        <v>0.79469999999999996</v>
      </c>
      <c r="AB70">
        <v>0.79220000000000002</v>
      </c>
    </row>
    <row r="71" spans="1:28" x14ac:dyDescent="0.25">
      <c r="A71" t="s">
        <v>30</v>
      </c>
      <c r="F71">
        <v>0.87975419365553897</v>
      </c>
      <c r="G71">
        <v>0.9028468880006526</v>
      </c>
      <c r="I71">
        <v>0.92900460904018767</v>
      </c>
      <c r="J71">
        <v>0.94872339296140984</v>
      </c>
      <c r="L71">
        <v>0.86724326139894203</v>
      </c>
      <c r="M71">
        <v>0.89282186368126437</v>
      </c>
      <c r="O71">
        <v>0.9294374393792435</v>
      </c>
      <c r="P71">
        <v>0.95061728395061729</v>
      </c>
      <c r="R71">
        <v>0.72315728380731281</v>
      </c>
      <c r="S71">
        <v>0.73970503734916693</v>
      </c>
      <c r="U71">
        <v>0.89763362498146315</v>
      </c>
      <c r="V71">
        <v>0.91857241134899614</v>
      </c>
      <c r="X71">
        <v>0.87956810631229232</v>
      </c>
      <c r="Y71">
        <v>0.89564003612776077</v>
      </c>
      <c r="AA71">
        <v>0.92923549543237494</v>
      </c>
      <c r="AB71">
        <v>0.94743835034013602</v>
      </c>
    </row>
    <row r="73" spans="1:28" x14ac:dyDescent="0.25">
      <c r="A73" t="s">
        <v>20</v>
      </c>
    </row>
    <row r="74" spans="1:28" x14ac:dyDescent="0.25">
      <c r="B74">
        <v>13</v>
      </c>
      <c r="C74" t="s">
        <v>0</v>
      </c>
      <c r="D74">
        <v>0</v>
      </c>
      <c r="E74" t="s">
        <v>6</v>
      </c>
      <c r="F74">
        <v>0.84119999999999995</v>
      </c>
      <c r="G74">
        <v>0.85599999999999998</v>
      </c>
      <c r="H74" t="s">
        <v>3</v>
      </c>
      <c r="I74">
        <v>0.33810000000000001</v>
      </c>
      <c r="J74">
        <v>0.34339999999999998</v>
      </c>
      <c r="K74" t="s">
        <v>8</v>
      </c>
      <c r="L74">
        <v>0.83730000000000004</v>
      </c>
      <c r="M74">
        <v>0.85360000000000003</v>
      </c>
      <c r="N74" t="s">
        <v>9</v>
      </c>
      <c r="O74">
        <v>0.33939999999999998</v>
      </c>
      <c r="P74">
        <v>0.34320000000000001</v>
      </c>
      <c r="Q74" t="s">
        <v>10</v>
      </c>
      <c r="R74">
        <v>0.84179999999999999</v>
      </c>
      <c r="S74">
        <v>0.85160000000000002</v>
      </c>
      <c r="T74" t="s">
        <v>11</v>
      </c>
      <c r="U74">
        <v>0.10299999999999999</v>
      </c>
      <c r="V74">
        <v>0.1047</v>
      </c>
      <c r="W74" t="s">
        <v>12</v>
      </c>
      <c r="X74">
        <v>0.88890000000000002</v>
      </c>
      <c r="Y74">
        <v>0.90700000000000003</v>
      </c>
      <c r="Z74" t="s">
        <v>13</v>
      </c>
      <c r="AA74">
        <v>0.33889999999999998</v>
      </c>
      <c r="AB74">
        <v>0.34389999999999998</v>
      </c>
    </row>
    <row r="75" spans="1:28" x14ac:dyDescent="0.25">
      <c r="B75">
        <v>33</v>
      </c>
      <c r="C75" t="s">
        <v>0</v>
      </c>
      <c r="D75">
        <v>0</v>
      </c>
      <c r="E75" t="s">
        <v>6</v>
      </c>
      <c r="F75">
        <v>0.84099999999999997</v>
      </c>
      <c r="G75">
        <v>0.85619999999999996</v>
      </c>
      <c r="H75" t="s">
        <v>3</v>
      </c>
      <c r="I75">
        <v>0.3402</v>
      </c>
      <c r="J75">
        <v>0.34649999999999997</v>
      </c>
      <c r="K75" t="s">
        <v>8</v>
      </c>
      <c r="L75">
        <v>0.83709999999999996</v>
      </c>
      <c r="M75">
        <v>0.85429999999999995</v>
      </c>
      <c r="N75" t="s">
        <v>9</v>
      </c>
      <c r="O75">
        <v>0.33860000000000001</v>
      </c>
      <c r="P75">
        <v>0.3453</v>
      </c>
      <c r="Q75" t="s">
        <v>10</v>
      </c>
      <c r="R75">
        <v>0.8417</v>
      </c>
      <c r="S75">
        <v>0.85629999999999995</v>
      </c>
      <c r="T75" t="s">
        <v>11</v>
      </c>
      <c r="U75">
        <v>0.10299999999999999</v>
      </c>
      <c r="V75">
        <v>0.1047</v>
      </c>
      <c r="W75" t="s">
        <v>12</v>
      </c>
      <c r="X75">
        <v>0.89170000000000005</v>
      </c>
      <c r="Y75">
        <v>0.90710000000000002</v>
      </c>
      <c r="Z75" t="s">
        <v>13</v>
      </c>
      <c r="AA75">
        <v>0.33250000000000002</v>
      </c>
      <c r="AB75">
        <v>0.34649999999999997</v>
      </c>
    </row>
    <row r="76" spans="1:28" x14ac:dyDescent="0.25">
      <c r="B76">
        <v>53</v>
      </c>
      <c r="C76" t="s">
        <v>0</v>
      </c>
      <c r="D76">
        <v>0</v>
      </c>
      <c r="E76" t="s">
        <v>6</v>
      </c>
      <c r="F76">
        <v>0.84119999999999995</v>
      </c>
      <c r="G76">
        <v>0.85780000000000001</v>
      </c>
      <c r="H76" t="s">
        <v>3</v>
      </c>
      <c r="I76">
        <v>0.3397</v>
      </c>
      <c r="J76">
        <v>0.34489999999999998</v>
      </c>
      <c r="K76" t="s">
        <v>8</v>
      </c>
      <c r="L76">
        <v>0.83979999999999999</v>
      </c>
      <c r="M76">
        <v>0.85470000000000002</v>
      </c>
      <c r="N76" t="s">
        <v>9</v>
      </c>
      <c r="O76">
        <v>0.33879999999999999</v>
      </c>
      <c r="P76">
        <v>0.34320000000000001</v>
      </c>
      <c r="Q76" t="s">
        <v>10</v>
      </c>
      <c r="R76">
        <v>0.84260000000000002</v>
      </c>
      <c r="S76">
        <v>0.85729999999999995</v>
      </c>
      <c r="T76" t="s">
        <v>11</v>
      </c>
      <c r="U76">
        <v>0.1032</v>
      </c>
      <c r="V76">
        <v>0.105</v>
      </c>
      <c r="W76" t="s">
        <v>12</v>
      </c>
      <c r="X76">
        <v>0.89629999999999999</v>
      </c>
      <c r="Y76">
        <v>0.91210000000000002</v>
      </c>
      <c r="Z76" t="s">
        <v>13</v>
      </c>
      <c r="AA76">
        <v>0.33810000000000001</v>
      </c>
      <c r="AB76">
        <v>0.34370000000000001</v>
      </c>
    </row>
    <row r="77" spans="1:28" x14ac:dyDescent="0.25">
      <c r="B77">
        <v>73</v>
      </c>
      <c r="C77" t="s">
        <v>0</v>
      </c>
      <c r="D77">
        <v>0</v>
      </c>
      <c r="E77" t="s">
        <v>6</v>
      </c>
      <c r="F77">
        <v>0.84299999999999997</v>
      </c>
      <c r="G77">
        <v>0.85919999999999996</v>
      </c>
      <c r="H77" t="s">
        <v>3</v>
      </c>
      <c r="I77">
        <v>0.33979999999999999</v>
      </c>
      <c r="J77">
        <v>0.34439999999999998</v>
      </c>
      <c r="K77" t="s">
        <v>8</v>
      </c>
      <c r="L77">
        <v>0.83919999999999995</v>
      </c>
      <c r="M77">
        <v>0.85529999999999995</v>
      </c>
      <c r="N77" t="s">
        <v>9</v>
      </c>
      <c r="O77">
        <v>0.33960000000000001</v>
      </c>
      <c r="P77">
        <v>0.34460000000000002</v>
      </c>
      <c r="Q77" t="s">
        <v>10</v>
      </c>
      <c r="R77">
        <v>0.84660000000000002</v>
      </c>
      <c r="S77">
        <v>0.85829999999999995</v>
      </c>
      <c r="T77" t="s">
        <v>11</v>
      </c>
      <c r="U77">
        <v>0.1036</v>
      </c>
      <c r="V77">
        <v>0.10589999999999999</v>
      </c>
      <c r="W77" t="s">
        <v>12</v>
      </c>
      <c r="X77">
        <v>0.9012</v>
      </c>
      <c r="Y77">
        <v>0.91279999999999994</v>
      </c>
      <c r="Z77" t="s">
        <v>13</v>
      </c>
      <c r="AA77">
        <v>0.3382</v>
      </c>
      <c r="AB77">
        <v>0.3412</v>
      </c>
    </row>
    <row r="78" spans="1:28" x14ac:dyDescent="0.25">
      <c r="B78">
        <v>93</v>
      </c>
      <c r="C78" t="s">
        <v>0</v>
      </c>
      <c r="D78">
        <v>0</v>
      </c>
      <c r="E78" t="s">
        <v>6</v>
      </c>
      <c r="F78">
        <v>0.84360000000000002</v>
      </c>
      <c r="G78">
        <v>0.85840000000000005</v>
      </c>
      <c r="H78" t="s">
        <v>3</v>
      </c>
      <c r="I78">
        <v>0.33250000000000002</v>
      </c>
      <c r="J78">
        <v>0.33879999999999999</v>
      </c>
      <c r="K78" t="s">
        <v>8</v>
      </c>
      <c r="L78">
        <v>0.84089999999999998</v>
      </c>
      <c r="M78">
        <v>0.85389999999999999</v>
      </c>
      <c r="N78" t="s">
        <v>9</v>
      </c>
      <c r="O78">
        <v>0.34</v>
      </c>
      <c r="P78">
        <v>0.3458</v>
      </c>
      <c r="Q78" t="s">
        <v>10</v>
      </c>
      <c r="R78">
        <v>0.84460000000000002</v>
      </c>
      <c r="S78">
        <v>0.85819999999999996</v>
      </c>
      <c r="T78" t="s">
        <v>11</v>
      </c>
      <c r="U78">
        <v>0.1023</v>
      </c>
      <c r="V78">
        <v>0.1047</v>
      </c>
      <c r="W78" t="s">
        <v>12</v>
      </c>
      <c r="X78">
        <v>0.90700000000000003</v>
      </c>
      <c r="Y78">
        <v>0.92259999999999998</v>
      </c>
      <c r="Z78" t="s">
        <v>13</v>
      </c>
      <c r="AA78">
        <v>0.33900000000000002</v>
      </c>
      <c r="AB78">
        <v>0.34749999999999998</v>
      </c>
    </row>
    <row r="79" spans="1:28" x14ac:dyDescent="0.25">
      <c r="A79" t="s">
        <v>23</v>
      </c>
      <c r="F79">
        <v>0.84199999999999997</v>
      </c>
      <c r="G79">
        <v>0.85751999999999984</v>
      </c>
      <c r="I79">
        <v>0.33806000000000003</v>
      </c>
      <c r="J79">
        <v>0.34360000000000002</v>
      </c>
      <c r="L79">
        <v>0.83886000000000005</v>
      </c>
      <c r="M79">
        <v>0.85436000000000001</v>
      </c>
      <c r="O79">
        <v>0.33927999999999997</v>
      </c>
      <c r="P79">
        <v>0.34442000000000006</v>
      </c>
      <c r="R79">
        <v>0.84345999999999999</v>
      </c>
      <c r="S79">
        <v>0.85633999999999999</v>
      </c>
      <c r="U79">
        <v>0.10301999999999997</v>
      </c>
      <c r="V79">
        <v>0.10500000000000001</v>
      </c>
      <c r="X79">
        <v>0.89702000000000004</v>
      </c>
      <c r="Y79">
        <v>0.91231999999999991</v>
      </c>
      <c r="AA79">
        <v>0.33734000000000003</v>
      </c>
      <c r="AB79">
        <v>0.34455999999999998</v>
      </c>
    </row>
    <row r="80" spans="1:28" x14ac:dyDescent="0.25">
      <c r="A80" t="s">
        <v>25</v>
      </c>
      <c r="F80">
        <v>1.0807404868885245E-3</v>
      </c>
      <c r="G80">
        <v>1.2432216214336145E-3</v>
      </c>
      <c r="I80">
        <v>2.8709580282546723E-3</v>
      </c>
      <c r="J80">
        <v>2.6007691170113461E-3</v>
      </c>
      <c r="L80">
        <v>1.462326912834465E-3</v>
      </c>
      <c r="M80">
        <v>5.9866518188381212E-4</v>
      </c>
      <c r="O80">
        <v>5.1536394906901112E-4</v>
      </c>
      <c r="P80">
        <v>1.0665833300778672E-3</v>
      </c>
      <c r="R80">
        <v>1.884250514130228E-3</v>
      </c>
      <c r="S80">
        <v>2.477579463912282E-3</v>
      </c>
      <c r="U80">
        <v>4.2142615011410829E-4</v>
      </c>
      <c r="V80">
        <v>4.6475800154488722E-4</v>
      </c>
      <c r="X80">
        <v>6.5088862334503851E-3</v>
      </c>
      <c r="Y80">
        <v>5.6834496566785736E-3</v>
      </c>
      <c r="AA80">
        <v>2.4467120795058769E-3</v>
      </c>
      <c r="AB80">
        <v>2.2303362975120925E-3</v>
      </c>
    </row>
    <row r="81" spans="1:28" x14ac:dyDescent="0.25">
      <c r="A81" t="s">
        <v>26</v>
      </c>
      <c r="F81">
        <v>57.831813402229017</v>
      </c>
      <c r="G81">
        <v>56.773914067566665</v>
      </c>
      <c r="I81">
        <v>41.419338874439632</v>
      </c>
      <c r="J81">
        <v>42.419027113927072</v>
      </c>
      <c r="L81">
        <v>55.172900264432776</v>
      </c>
      <c r="M81">
        <v>63.089138131496611</v>
      </c>
      <c r="O81">
        <v>56.368884482073163</v>
      </c>
      <c r="P81">
        <v>50.181871414193829</v>
      </c>
      <c r="R81">
        <v>53.018516982304327</v>
      </c>
      <c r="S81">
        <v>50.772372759527265</v>
      </c>
      <c r="U81">
        <v>47.764001296465402</v>
      </c>
      <c r="V81">
        <v>47.079248469889507</v>
      </c>
      <c r="X81">
        <v>42.785908909511143</v>
      </c>
      <c r="Y81">
        <v>44.11070356421093</v>
      </c>
      <c r="AA81">
        <v>42.789699489734375</v>
      </c>
      <c r="AB81">
        <v>43.777890128099756</v>
      </c>
    </row>
    <row r="82" spans="1:28" x14ac:dyDescent="0.25">
      <c r="A82" t="s">
        <v>24</v>
      </c>
      <c r="F82">
        <v>0.90300000000000002</v>
      </c>
      <c r="G82">
        <v>0.90029999999999999</v>
      </c>
      <c r="I82">
        <v>0.37809999999999999</v>
      </c>
      <c r="J82">
        <v>0.377</v>
      </c>
      <c r="L82">
        <v>0.90300000000000002</v>
      </c>
      <c r="M82">
        <v>0.90029999999999999</v>
      </c>
      <c r="O82">
        <v>0.37809999999999999</v>
      </c>
      <c r="P82">
        <v>0.377</v>
      </c>
      <c r="R82">
        <v>0.90300000000000002</v>
      </c>
      <c r="S82">
        <v>0.90029999999999999</v>
      </c>
      <c r="U82">
        <v>0.13200000000000001</v>
      </c>
      <c r="V82">
        <v>0.13159999999999999</v>
      </c>
      <c r="X82">
        <v>0.95430000000000004</v>
      </c>
      <c r="Y82">
        <v>0.95130000000000003</v>
      </c>
      <c r="AA82">
        <v>0.37809999999999999</v>
      </c>
      <c r="AB82">
        <v>0.377</v>
      </c>
    </row>
    <row r="83" spans="1:28" x14ac:dyDescent="0.25">
      <c r="A83" t="s">
        <v>30</v>
      </c>
      <c r="F83">
        <v>0.92755344418052255</v>
      </c>
      <c r="G83">
        <v>0.95011195074167343</v>
      </c>
      <c r="I83">
        <v>0.8815594864816898</v>
      </c>
      <c r="J83">
        <v>0.90279394644935973</v>
      </c>
      <c r="L83">
        <v>0.92353908876332169</v>
      </c>
      <c r="M83">
        <v>0.94622875602790391</v>
      </c>
      <c r="O83">
        <v>0.88558123084178253</v>
      </c>
      <c r="P83">
        <v>0.90540619011671819</v>
      </c>
      <c r="R83">
        <v>0.92940981196500128</v>
      </c>
      <c r="S83">
        <v>0.94866524978396427</v>
      </c>
      <c r="U83">
        <v>0.71869539895165946</v>
      </c>
      <c r="V83">
        <v>0.74666666666666681</v>
      </c>
      <c r="X83">
        <v>0.93614412164723193</v>
      </c>
      <c r="Y83">
        <v>0.95727376359172212</v>
      </c>
      <c r="AA83">
        <v>0.87917234837256197</v>
      </c>
      <c r="AB83">
        <v>0.90585094032969571</v>
      </c>
    </row>
    <row r="85" spans="1:28" x14ac:dyDescent="0.25">
      <c r="A85" t="s">
        <v>21</v>
      </c>
    </row>
    <row r="86" spans="1:28" x14ac:dyDescent="0.25">
      <c r="B86">
        <v>15</v>
      </c>
      <c r="C86" t="s">
        <v>0</v>
      </c>
      <c r="D86">
        <v>0</v>
      </c>
      <c r="E86" t="s">
        <v>6</v>
      </c>
      <c r="F86">
        <v>0.1759</v>
      </c>
      <c r="G86">
        <v>0.1794</v>
      </c>
      <c r="H86" t="s">
        <v>3</v>
      </c>
      <c r="I86">
        <v>0.67889999999999995</v>
      </c>
      <c r="J86">
        <v>0.6895</v>
      </c>
      <c r="K86" t="s">
        <v>8</v>
      </c>
      <c r="L86">
        <v>0.17530000000000001</v>
      </c>
      <c r="M86">
        <v>0.1782</v>
      </c>
      <c r="N86" t="s">
        <v>9</v>
      </c>
      <c r="O86">
        <v>0.67900000000000005</v>
      </c>
      <c r="P86">
        <v>0.6905</v>
      </c>
      <c r="Q86" t="s">
        <v>10</v>
      </c>
      <c r="R86">
        <v>0.1709</v>
      </c>
      <c r="S86">
        <v>0.17549999999999999</v>
      </c>
      <c r="T86" t="s">
        <v>11</v>
      </c>
      <c r="U86">
        <v>0.67989999999999995</v>
      </c>
      <c r="V86">
        <v>0.68940000000000001</v>
      </c>
      <c r="W86" t="s">
        <v>12</v>
      </c>
      <c r="X86">
        <v>0.10299999999999999</v>
      </c>
      <c r="Y86">
        <v>0.1045</v>
      </c>
      <c r="Z86" t="s">
        <v>13</v>
      </c>
      <c r="AA86">
        <v>0.9617</v>
      </c>
      <c r="AB86">
        <v>0.98350000000000004</v>
      </c>
    </row>
    <row r="87" spans="1:28" x14ac:dyDescent="0.25">
      <c r="B87">
        <v>35</v>
      </c>
      <c r="C87" t="s">
        <v>0</v>
      </c>
      <c r="D87">
        <v>0</v>
      </c>
      <c r="E87" t="s">
        <v>6</v>
      </c>
      <c r="F87">
        <v>0.17660000000000001</v>
      </c>
      <c r="G87">
        <v>0.1794</v>
      </c>
      <c r="H87" t="s">
        <v>3</v>
      </c>
      <c r="I87">
        <v>0.6784</v>
      </c>
      <c r="J87">
        <v>0.69059999999999999</v>
      </c>
      <c r="K87" t="s">
        <v>8</v>
      </c>
      <c r="L87">
        <v>0.1754</v>
      </c>
      <c r="M87">
        <v>0.1784</v>
      </c>
      <c r="N87" t="s">
        <v>9</v>
      </c>
      <c r="O87">
        <v>0.68</v>
      </c>
      <c r="P87">
        <v>0.68979999999999997</v>
      </c>
      <c r="Q87" t="s">
        <v>10</v>
      </c>
      <c r="R87">
        <v>0.1782</v>
      </c>
      <c r="S87">
        <v>0.17829999999999999</v>
      </c>
      <c r="T87" t="s">
        <v>11</v>
      </c>
      <c r="U87">
        <v>0.67879999999999996</v>
      </c>
      <c r="V87">
        <v>0.68959999999999999</v>
      </c>
      <c r="W87" t="s">
        <v>12</v>
      </c>
      <c r="X87">
        <v>0.1036</v>
      </c>
      <c r="Y87">
        <v>0.10489999999999999</v>
      </c>
      <c r="Z87" t="s">
        <v>13</v>
      </c>
      <c r="AA87">
        <v>0.9617</v>
      </c>
      <c r="AB87">
        <v>0.98270000000000002</v>
      </c>
    </row>
    <row r="88" spans="1:28" x14ac:dyDescent="0.25">
      <c r="B88">
        <v>55</v>
      </c>
      <c r="C88" t="s">
        <v>0</v>
      </c>
      <c r="D88">
        <v>0</v>
      </c>
      <c r="E88" t="s">
        <v>6</v>
      </c>
      <c r="F88">
        <v>0.17510000000000001</v>
      </c>
      <c r="G88">
        <v>0.1779</v>
      </c>
      <c r="H88" t="s">
        <v>3</v>
      </c>
      <c r="I88">
        <v>0.67769999999999997</v>
      </c>
      <c r="J88">
        <v>0.68830000000000002</v>
      </c>
      <c r="K88" t="s">
        <v>8</v>
      </c>
      <c r="L88">
        <v>0.17480000000000001</v>
      </c>
      <c r="M88">
        <v>0.1772</v>
      </c>
      <c r="N88" t="s">
        <v>9</v>
      </c>
      <c r="O88">
        <v>0.67669999999999997</v>
      </c>
      <c r="P88">
        <v>0.68989999999999996</v>
      </c>
      <c r="Q88" t="s">
        <v>10</v>
      </c>
      <c r="R88">
        <v>0.17499999999999999</v>
      </c>
      <c r="S88">
        <v>0.17829999999999999</v>
      </c>
      <c r="T88" t="s">
        <v>11</v>
      </c>
      <c r="U88">
        <v>0.67579999999999996</v>
      </c>
      <c r="V88">
        <v>0.68799999999999994</v>
      </c>
      <c r="W88" t="s">
        <v>12</v>
      </c>
      <c r="X88">
        <v>0.1031</v>
      </c>
      <c r="Y88">
        <v>0.1046</v>
      </c>
      <c r="Z88" t="s">
        <v>13</v>
      </c>
      <c r="AA88">
        <v>0.96189999999999998</v>
      </c>
      <c r="AB88">
        <v>0.9849</v>
      </c>
    </row>
    <row r="89" spans="1:28" x14ac:dyDescent="0.25">
      <c r="B89">
        <v>75</v>
      </c>
      <c r="C89" t="s">
        <v>0</v>
      </c>
      <c r="D89">
        <v>0</v>
      </c>
      <c r="E89" t="s">
        <v>6</v>
      </c>
      <c r="F89">
        <v>0.17560000000000001</v>
      </c>
      <c r="G89">
        <v>0.1794</v>
      </c>
      <c r="H89" t="s">
        <v>3</v>
      </c>
      <c r="I89">
        <v>0.67810000000000004</v>
      </c>
      <c r="J89">
        <v>0.69030000000000002</v>
      </c>
      <c r="K89" t="s">
        <v>8</v>
      </c>
      <c r="L89">
        <v>0.1754</v>
      </c>
      <c r="M89">
        <v>0.1789</v>
      </c>
      <c r="N89" t="s">
        <v>9</v>
      </c>
      <c r="O89">
        <v>0.6804</v>
      </c>
      <c r="P89">
        <v>0.69110000000000005</v>
      </c>
      <c r="Q89" t="s">
        <v>10</v>
      </c>
      <c r="R89">
        <v>0.17610000000000001</v>
      </c>
      <c r="S89">
        <v>0.17829999999999999</v>
      </c>
      <c r="T89" t="s">
        <v>11</v>
      </c>
      <c r="U89">
        <v>0.67730000000000001</v>
      </c>
      <c r="V89">
        <v>0.69010000000000005</v>
      </c>
      <c r="W89" t="s">
        <v>12</v>
      </c>
      <c r="X89">
        <v>0.1041</v>
      </c>
      <c r="Y89">
        <v>0.10489999999999999</v>
      </c>
      <c r="Z89" t="s">
        <v>13</v>
      </c>
      <c r="AA89">
        <v>0.96870000000000001</v>
      </c>
      <c r="AB89">
        <v>0.98909999999999998</v>
      </c>
    </row>
    <row r="90" spans="1:28" x14ac:dyDescent="0.25">
      <c r="B90">
        <v>95</v>
      </c>
      <c r="C90" t="s">
        <v>0</v>
      </c>
      <c r="D90">
        <v>0</v>
      </c>
      <c r="E90" t="s">
        <v>6</v>
      </c>
      <c r="F90">
        <v>0.17749999999999999</v>
      </c>
      <c r="G90">
        <v>0.18</v>
      </c>
      <c r="H90" t="s">
        <v>3</v>
      </c>
      <c r="I90">
        <v>0.67910000000000004</v>
      </c>
      <c r="J90">
        <v>0.69030000000000002</v>
      </c>
      <c r="K90" t="s">
        <v>8</v>
      </c>
      <c r="L90">
        <v>0.1762</v>
      </c>
      <c r="M90">
        <v>0.1794</v>
      </c>
      <c r="N90" t="s">
        <v>9</v>
      </c>
      <c r="O90">
        <v>0.67930000000000001</v>
      </c>
      <c r="P90">
        <v>0.69159999999999999</v>
      </c>
      <c r="Q90" t="s">
        <v>10</v>
      </c>
      <c r="R90">
        <v>0.17699999999999999</v>
      </c>
      <c r="S90">
        <v>0.1802</v>
      </c>
      <c r="T90" t="s">
        <v>11</v>
      </c>
      <c r="U90">
        <v>0.6784</v>
      </c>
      <c r="V90">
        <v>0.69110000000000005</v>
      </c>
      <c r="W90" t="s">
        <v>12</v>
      </c>
      <c r="X90">
        <v>0.1037</v>
      </c>
      <c r="Y90">
        <v>0.1052</v>
      </c>
      <c r="Z90" t="s">
        <v>13</v>
      </c>
      <c r="AA90">
        <v>0.97919999999999996</v>
      </c>
      <c r="AB90">
        <v>0.99380000000000002</v>
      </c>
    </row>
    <row r="91" spans="1:28" x14ac:dyDescent="0.25">
      <c r="A91" t="s">
        <v>23</v>
      </c>
      <c r="F91">
        <v>0.17614000000000002</v>
      </c>
      <c r="G91">
        <v>0.17921999999999999</v>
      </c>
      <c r="I91">
        <v>0.67844000000000004</v>
      </c>
      <c r="J91">
        <v>0.68980000000000008</v>
      </c>
      <c r="L91">
        <v>0.17542000000000002</v>
      </c>
      <c r="M91">
        <v>0.17842000000000002</v>
      </c>
      <c r="O91">
        <v>0.67908000000000002</v>
      </c>
      <c r="P91">
        <v>0.69057999999999997</v>
      </c>
      <c r="R91">
        <v>0.17543999999999998</v>
      </c>
      <c r="S91">
        <v>0.17812</v>
      </c>
      <c r="U91">
        <v>0.67803999999999987</v>
      </c>
      <c r="V91">
        <v>0.68964000000000003</v>
      </c>
      <c r="X91">
        <v>0.10349999999999999</v>
      </c>
      <c r="Y91">
        <v>0.10481999999999998</v>
      </c>
      <c r="AA91">
        <v>0.96663999999999994</v>
      </c>
      <c r="AB91">
        <v>0.98680000000000001</v>
      </c>
    </row>
    <row r="92" spans="1:28" x14ac:dyDescent="0.25">
      <c r="A92" t="s">
        <v>25</v>
      </c>
      <c r="F92">
        <v>8.3570329663104279E-4</v>
      </c>
      <c r="G92">
        <v>6.9971422738143415E-4</v>
      </c>
      <c r="I92">
        <v>5.1224993899463215E-4</v>
      </c>
      <c r="J92">
        <v>8.3426614458456444E-4</v>
      </c>
      <c r="L92">
        <v>4.4899888641286773E-4</v>
      </c>
      <c r="M92">
        <v>7.3864741250477843E-4</v>
      </c>
      <c r="O92">
        <v>1.2890306435457812E-3</v>
      </c>
      <c r="P92">
        <v>6.9108610172686016E-4</v>
      </c>
      <c r="R92">
        <v>2.5016794358990128E-3</v>
      </c>
      <c r="S92">
        <v>1.5025311976794382E-3</v>
      </c>
      <c r="U92">
        <v>1.3951344021276176E-3</v>
      </c>
      <c r="V92">
        <v>1.0091580649234646E-3</v>
      </c>
      <c r="X92">
        <v>4.0496913462633306E-4</v>
      </c>
      <c r="Y92">
        <v>2.4819347291981817E-4</v>
      </c>
      <c r="AA92">
        <v>6.8304026235647226E-3</v>
      </c>
      <c r="AB92">
        <v>4.1376321731154339E-3</v>
      </c>
    </row>
    <row r="93" spans="1:28" x14ac:dyDescent="0.25">
      <c r="A93" t="s">
        <v>26</v>
      </c>
      <c r="F93">
        <v>46.476117533168868</v>
      </c>
      <c r="G93">
        <v>48.16931536838041</v>
      </c>
      <c r="I93">
        <v>62.44059060255821</v>
      </c>
      <c r="J93">
        <v>58.348371404521863</v>
      </c>
      <c r="L93">
        <v>51.83667685571298</v>
      </c>
      <c r="M93">
        <v>47.660127084182989</v>
      </c>
      <c r="O93">
        <v>54.433153964388495</v>
      </c>
      <c r="P93">
        <v>59.993636749231591</v>
      </c>
      <c r="R93">
        <v>36.917939201009638</v>
      </c>
      <c r="S93">
        <v>41.477783765080964</v>
      </c>
      <c r="U93">
        <v>53.732785344864539</v>
      </c>
      <c r="V93">
        <v>56.693264957170157</v>
      </c>
      <c r="X93">
        <v>48.150368515381729</v>
      </c>
      <c r="Y93">
        <v>52.513075985687195</v>
      </c>
      <c r="AA93">
        <v>43.016369164074924</v>
      </c>
      <c r="AB93">
        <v>47.549545212942633</v>
      </c>
    </row>
    <row r="94" spans="1:28" x14ac:dyDescent="0.25">
      <c r="A94" t="s">
        <v>24</v>
      </c>
      <c r="F94">
        <v>0.18329999999999999</v>
      </c>
      <c r="G94">
        <v>0.18279999999999999</v>
      </c>
      <c r="I94">
        <v>0.70850000000000002</v>
      </c>
      <c r="J94">
        <v>0.70630000000000004</v>
      </c>
      <c r="L94">
        <v>0.18329999999999999</v>
      </c>
      <c r="M94">
        <v>0.18279999999999999</v>
      </c>
      <c r="O94">
        <v>0.70850000000000002</v>
      </c>
      <c r="P94">
        <v>0.70630000000000004</v>
      </c>
      <c r="R94">
        <v>0.18329999999999999</v>
      </c>
      <c r="S94">
        <v>0.18279999999999999</v>
      </c>
      <c r="U94">
        <v>0.70850000000000002</v>
      </c>
      <c r="V94">
        <v>0.70630000000000004</v>
      </c>
      <c r="X94">
        <v>0.1321</v>
      </c>
      <c r="Y94">
        <v>0.13170000000000001</v>
      </c>
      <c r="AA94">
        <v>0.70840000000000003</v>
      </c>
      <c r="AB94">
        <v>0.70630000000000004</v>
      </c>
    </row>
    <row r="95" spans="1:28" x14ac:dyDescent="0.25">
      <c r="A95" t="s">
        <v>30</v>
      </c>
      <c r="F95">
        <v>0.95935051663449544</v>
      </c>
      <c r="G95">
        <v>0.9800245508313804</v>
      </c>
      <c r="I95">
        <v>0.95569247096279708</v>
      </c>
      <c r="J95">
        <v>0.9760800231951291</v>
      </c>
      <c r="L95">
        <v>0.95507923839927045</v>
      </c>
      <c r="M95">
        <v>0.97545118260284736</v>
      </c>
      <c r="O95">
        <v>0.95667668021440777</v>
      </c>
      <c r="P95">
        <v>0.97723652581887677</v>
      </c>
      <c r="R95">
        <v>0.95519835841313261</v>
      </c>
      <c r="S95">
        <v>0.97372557826184603</v>
      </c>
      <c r="U95">
        <v>0.95507639667276245</v>
      </c>
      <c r="V95">
        <v>0.97584246853430778</v>
      </c>
      <c r="X95">
        <v>0.72367149758454108</v>
      </c>
      <c r="Y95">
        <v>0.74356038923869461</v>
      </c>
      <c r="AA95">
        <v>0.73284780269800553</v>
      </c>
      <c r="AB95">
        <v>0.71574787190920142</v>
      </c>
    </row>
    <row r="97" spans="1:28" x14ac:dyDescent="0.25">
      <c r="A97" t="s">
        <v>22</v>
      </c>
    </row>
    <row r="98" spans="1:28" x14ac:dyDescent="0.25">
      <c r="B98">
        <v>17</v>
      </c>
      <c r="C98" t="s">
        <v>0</v>
      </c>
      <c r="D98">
        <v>0</v>
      </c>
      <c r="E98" t="s">
        <v>6</v>
      </c>
      <c r="F98">
        <v>1.0163</v>
      </c>
      <c r="G98">
        <v>1.0444</v>
      </c>
      <c r="H98" t="s">
        <v>3</v>
      </c>
      <c r="I98">
        <v>0.44719999999999999</v>
      </c>
      <c r="J98">
        <v>0.45479999999999998</v>
      </c>
      <c r="K98" t="s">
        <v>8</v>
      </c>
      <c r="L98">
        <v>0.92130000000000001</v>
      </c>
      <c r="M98">
        <v>0.93830000000000002</v>
      </c>
      <c r="N98" t="s">
        <v>9</v>
      </c>
      <c r="O98">
        <v>0.44769999999999999</v>
      </c>
      <c r="P98">
        <v>0.45519999999999999</v>
      </c>
      <c r="Q98" t="s">
        <v>10</v>
      </c>
      <c r="R98">
        <v>0.92449999999999999</v>
      </c>
      <c r="S98">
        <v>0.94289999999999996</v>
      </c>
      <c r="T98" t="s">
        <v>11</v>
      </c>
      <c r="U98">
        <v>0.4476</v>
      </c>
      <c r="V98">
        <v>0.4556</v>
      </c>
      <c r="W98" t="s">
        <v>12</v>
      </c>
      <c r="X98">
        <v>0.92320000000000002</v>
      </c>
      <c r="Y98">
        <v>0.93910000000000005</v>
      </c>
      <c r="Z98" t="s">
        <v>13</v>
      </c>
      <c r="AA98">
        <v>0.1031</v>
      </c>
      <c r="AB98">
        <v>0.1045</v>
      </c>
    </row>
    <row r="99" spans="1:28" x14ac:dyDescent="0.25">
      <c r="B99">
        <v>37</v>
      </c>
      <c r="C99" t="s">
        <v>0</v>
      </c>
      <c r="D99">
        <v>0</v>
      </c>
      <c r="E99" t="s">
        <v>6</v>
      </c>
      <c r="F99">
        <v>1.0073000000000001</v>
      </c>
      <c r="G99">
        <v>1.0373000000000001</v>
      </c>
      <c r="H99" t="s">
        <v>3</v>
      </c>
      <c r="I99">
        <v>0.44779999999999998</v>
      </c>
      <c r="J99">
        <v>0.45500000000000002</v>
      </c>
      <c r="K99" t="s">
        <v>8</v>
      </c>
      <c r="L99">
        <v>0.91849999999999998</v>
      </c>
      <c r="M99">
        <v>0.93520000000000003</v>
      </c>
      <c r="N99" t="s">
        <v>9</v>
      </c>
      <c r="O99">
        <v>0.44819999999999999</v>
      </c>
      <c r="P99">
        <v>0.45519999999999999</v>
      </c>
      <c r="Q99" t="s">
        <v>10</v>
      </c>
      <c r="R99">
        <v>0.92100000000000004</v>
      </c>
      <c r="S99">
        <v>0.93840000000000001</v>
      </c>
      <c r="T99" t="s">
        <v>11</v>
      </c>
      <c r="U99">
        <v>0.44669999999999999</v>
      </c>
      <c r="V99">
        <v>0.45490000000000003</v>
      </c>
      <c r="W99" t="s">
        <v>12</v>
      </c>
      <c r="X99">
        <v>0.91720000000000002</v>
      </c>
      <c r="Y99">
        <v>0.93569999999999998</v>
      </c>
      <c r="Z99" t="s">
        <v>13</v>
      </c>
      <c r="AA99">
        <v>0.10249999999999999</v>
      </c>
      <c r="AB99">
        <v>0.1052</v>
      </c>
    </row>
    <row r="100" spans="1:28" x14ac:dyDescent="0.25">
      <c r="B100">
        <v>57</v>
      </c>
      <c r="C100" t="s">
        <v>0</v>
      </c>
      <c r="D100">
        <v>0</v>
      </c>
      <c r="E100" t="s">
        <v>6</v>
      </c>
      <c r="F100">
        <v>1.012</v>
      </c>
      <c r="G100">
        <v>1.0427</v>
      </c>
      <c r="H100" t="s">
        <v>3</v>
      </c>
      <c r="I100">
        <v>0.44769999999999999</v>
      </c>
      <c r="J100">
        <v>0.45619999999999999</v>
      </c>
      <c r="K100" t="s">
        <v>8</v>
      </c>
      <c r="L100">
        <v>0.91669999999999996</v>
      </c>
      <c r="M100">
        <v>0.93369999999999997</v>
      </c>
      <c r="N100" t="s">
        <v>9</v>
      </c>
      <c r="O100">
        <v>0.44769999999999999</v>
      </c>
      <c r="P100">
        <v>0.4546</v>
      </c>
      <c r="Q100" t="s">
        <v>10</v>
      </c>
      <c r="R100">
        <v>0.91810000000000003</v>
      </c>
      <c r="S100">
        <v>0.93589999999999995</v>
      </c>
      <c r="T100" t="s">
        <v>11</v>
      </c>
      <c r="U100">
        <v>0.44690000000000002</v>
      </c>
      <c r="V100">
        <v>0.45379999999999998</v>
      </c>
      <c r="W100" t="s">
        <v>12</v>
      </c>
      <c r="X100">
        <v>0.91669999999999996</v>
      </c>
      <c r="Y100">
        <v>0.93340000000000001</v>
      </c>
      <c r="Z100" t="s">
        <v>13</v>
      </c>
      <c r="AA100">
        <v>0.1053</v>
      </c>
      <c r="AB100">
        <v>0.1065</v>
      </c>
    </row>
    <row r="101" spans="1:28" x14ac:dyDescent="0.25">
      <c r="B101">
        <v>77</v>
      </c>
      <c r="C101" t="s">
        <v>0</v>
      </c>
      <c r="D101">
        <v>0</v>
      </c>
      <c r="E101" t="s">
        <v>6</v>
      </c>
      <c r="F101">
        <v>1.0175000000000001</v>
      </c>
      <c r="G101">
        <v>1.0451999999999999</v>
      </c>
      <c r="H101" t="s">
        <v>3</v>
      </c>
      <c r="I101">
        <v>0.44769999999999999</v>
      </c>
      <c r="J101">
        <v>0.45550000000000002</v>
      </c>
      <c r="K101" t="s">
        <v>8</v>
      </c>
      <c r="L101">
        <v>0.91739999999999999</v>
      </c>
      <c r="M101">
        <v>0.93459999999999999</v>
      </c>
      <c r="N101" t="s">
        <v>9</v>
      </c>
      <c r="O101">
        <v>0.44819999999999999</v>
      </c>
      <c r="P101">
        <v>0.45600000000000002</v>
      </c>
      <c r="Q101" t="s">
        <v>10</v>
      </c>
      <c r="R101">
        <v>0.92100000000000004</v>
      </c>
      <c r="S101">
        <v>0.93669999999999998</v>
      </c>
      <c r="T101" t="s">
        <v>11</v>
      </c>
      <c r="U101">
        <v>0.4486</v>
      </c>
      <c r="V101">
        <v>0.45729999999999998</v>
      </c>
      <c r="W101" t="s">
        <v>12</v>
      </c>
      <c r="X101">
        <v>0.91510000000000002</v>
      </c>
      <c r="Y101">
        <v>0.93410000000000004</v>
      </c>
      <c r="Z101" t="s">
        <v>13</v>
      </c>
      <c r="AA101">
        <v>0.1014</v>
      </c>
      <c r="AB101">
        <v>0.107</v>
      </c>
    </row>
    <row r="102" spans="1:28" x14ac:dyDescent="0.25">
      <c r="B102">
        <v>97</v>
      </c>
      <c r="C102" t="s">
        <v>0</v>
      </c>
      <c r="D102">
        <v>0</v>
      </c>
      <c r="E102" t="s">
        <v>6</v>
      </c>
      <c r="F102">
        <v>1.0246999999999999</v>
      </c>
      <c r="G102">
        <v>1.0407</v>
      </c>
      <c r="H102" t="s">
        <v>3</v>
      </c>
      <c r="I102">
        <v>0.44719999999999999</v>
      </c>
      <c r="J102">
        <v>0.45600000000000002</v>
      </c>
      <c r="K102" t="s">
        <v>8</v>
      </c>
      <c r="L102">
        <v>0.92249999999999999</v>
      </c>
      <c r="M102">
        <v>0.93959999999999999</v>
      </c>
      <c r="N102" t="s">
        <v>9</v>
      </c>
      <c r="O102">
        <v>0.45179999999999998</v>
      </c>
      <c r="P102">
        <v>0.4551</v>
      </c>
      <c r="Q102" t="s">
        <v>10</v>
      </c>
      <c r="R102">
        <v>0.92400000000000004</v>
      </c>
      <c r="S102">
        <v>0.94140000000000001</v>
      </c>
      <c r="T102" t="s">
        <v>11</v>
      </c>
      <c r="U102">
        <v>0.44840000000000002</v>
      </c>
      <c r="V102">
        <v>0.45629999999999998</v>
      </c>
      <c r="W102" t="s">
        <v>12</v>
      </c>
      <c r="X102">
        <v>0.92149999999999999</v>
      </c>
      <c r="Y102">
        <v>0.93830000000000002</v>
      </c>
      <c r="Z102" t="s">
        <v>13</v>
      </c>
      <c r="AA102">
        <v>0.1027</v>
      </c>
      <c r="AB102">
        <v>0.1041</v>
      </c>
    </row>
    <row r="103" spans="1:28" x14ac:dyDescent="0.25">
      <c r="A103" t="s">
        <v>23</v>
      </c>
      <c r="F103">
        <v>1.0155600000000002</v>
      </c>
      <c r="G103">
        <v>1.04206</v>
      </c>
      <c r="I103">
        <v>0.44752000000000003</v>
      </c>
      <c r="J103">
        <v>0.45549999999999996</v>
      </c>
      <c r="L103">
        <v>0.91927999999999999</v>
      </c>
      <c r="M103">
        <v>0.93628</v>
      </c>
      <c r="O103">
        <v>0.44871999999999995</v>
      </c>
      <c r="P103">
        <v>0.45522000000000001</v>
      </c>
      <c r="R103">
        <v>0.92171999999999998</v>
      </c>
      <c r="S103">
        <v>0.93905999999999989</v>
      </c>
      <c r="U103">
        <v>0.44763999999999998</v>
      </c>
      <c r="V103">
        <v>0.45558000000000004</v>
      </c>
      <c r="X103">
        <v>0.91874</v>
      </c>
      <c r="Y103">
        <v>0.93612000000000006</v>
      </c>
      <c r="AA103">
        <v>0.10300000000000001</v>
      </c>
      <c r="AB103">
        <v>0.10546</v>
      </c>
    </row>
    <row r="104" spans="1:28" x14ac:dyDescent="0.25">
      <c r="A104" t="s">
        <v>25</v>
      </c>
      <c r="F104">
        <v>5.809509445727716E-3</v>
      </c>
      <c r="G104">
        <v>2.8373226816842106E-3</v>
      </c>
      <c r="I104">
        <v>2.6381811916545623E-4</v>
      </c>
      <c r="J104">
        <v>5.4405882034942114E-4</v>
      </c>
      <c r="L104">
        <v>2.2471315048301116E-3</v>
      </c>
      <c r="M104">
        <v>2.2692730113408627E-3</v>
      </c>
      <c r="O104">
        <v>1.5561490931141496E-3</v>
      </c>
      <c r="P104">
        <v>4.4899888641287744E-4</v>
      </c>
      <c r="R104">
        <v>2.3267144216684529E-3</v>
      </c>
      <c r="S104">
        <v>2.691170748949243E-3</v>
      </c>
      <c r="U104">
        <v>7.6576758876306943E-4</v>
      </c>
      <c r="V104">
        <v>1.1923086848631065E-3</v>
      </c>
      <c r="X104">
        <v>3.0754511864115172E-3</v>
      </c>
      <c r="Y104">
        <v>2.248910847499304E-3</v>
      </c>
      <c r="AA104">
        <v>1.2806248474865709E-3</v>
      </c>
      <c r="AB104">
        <v>1.1217842929904128E-3</v>
      </c>
    </row>
    <row r="105" spans="1:28" x14ac:dyDescent="0.25">
      <c r="A105" t="s">
        <v>26</v>
      </c>
      <c r="F105">
        <v>44.851322495149113</v>
      </c>
      <c r="G105">
        <v>51.299679915249527</v>
      </c>
      <c r="I105">
        <v>64.590156584443491</v>
      </c>
      <c r="J105">
        <v>58.456850515590901</v>
      </c>
      <c r="L105">
        <v>52.236386460878073</v>
      </c>
      <c r="M105">
        <v>52.310379968043506</v>
      </c>
      <c r="O105">
        <v>49.198484460544059</v>
      </c>
      <c r="P105">
        <v>60.119521411219253</v>
      </c>
      <c r="R105">
        <v>51.957118588417124</v>
      </c>
      <c r="S105">
        <v>50.855041762889215</v>
      </c>
      <c r="U105">
        <v>55.3366381250271</v>
      </c>
      <c r="V105">
        <v>51.643518857258783</v>
      </c>
      <c r="X105">
        <v>49.50567573526304</v>
      </c>
      <c r="Y105">
        <v>52.387185694024708</v>
      </c>
      <c r="AA105">
        <v>38.108306013626454</v>
      </c>
      <c r="AB105">
        <v>39.463568243756598</v>
      </c>
    </row>
    <row r="106" spans="1:28" x14ac:dyDescent="0.25">
      <c r="A106" t="s">
        <v>24</v>
      </c>
      <c r="F106">
        <v>1.1894</v>
      </c>
      <c r="G106">
        <v>1.1858</v>
      </c>
      <c r="I106">
        <v>0.49099999999999999</v>
      </c>
      <c r="J106">
        <v>0.48949999999999999</v>
      </c>
      <c r="L106">
        <v>1.0157</v>
      </c>
      <c r="M106">
        <v>1.0125999999999999</v>
      </c>
      <c r="O106">
        <v>0.49099999999999999</v>
      </c>
      <c r="P106">
        <v>0.48949999999999999</v>
      </c>
      <c r="R106">
        <v>1.0157</v>
      </c>
      <c r="S106">
        <v>1.0125999999999999</v>
      </c>
      <c r="U106">
        <v>0.49099999999999999</v>
      </c>
      <c r="V106">
        <v>0.48949999999999999</v>
      </c>
      <c r="X106">
        <v>1.0157</v>
      </c>
      <c r="Y106">
        <v>1.0125999999999999</v>
      </c>
      <c r="AA106">
        <v>0.13200000000000001</v>
      </c>
      <c r="AB106">
        <v>0.13159999999999999</v>
      </c>
    </row>
    <row r="107" spans="1:28" x14ac:dyDescent="0.25">
      <c r="A107" t="s">
        <v>30</v>
      </c>
      <c r="F107">
        <v>0.82882350624286139</v>
      </c>
      <c r="G107">
        <v>0.86206168550755236</v>
      </c>
      <c r="I107">
        <v>0.90284233106900258</v>
      </c>
      <c r="J107">
        <v>0.92535675082327107</v>
      </c>
      <c r="L107">
        <v>0.89511356713950041</v>
      </c>
      <c r="M107">
        <v>0.91848592301448295</v>
      </c>
      <c r="O107">
        <v>0.90577643073631653</v>
      </c>
      <c r="P107">
        <v>0.92469575150476702</v>
      </c>
      <c r="R107">
        <v>0.89803844985461956</v>
      </c>
      <c r="S107">
        <v>0.92168764509190038</v>
      </c>
      <c r="U107">
        <v>0.90313644893217759</v>
      </c>
      <c r="V107">
        <v>0.92554545853637138</v>
      </c>
      <c r="X107">
        <v>0.894464157433006</v>
      </c>
      <c r="Y107">
        <v>0.91830107251207127</v>
      </c>
      <c r="AA107">
        <v>0.7184466019417477</v>
      </c>
      <c r="AB107">
        <v>0.75213351033567233</v>
      </c>
    </row>
    <row r="112" spans="1:28" x14ac:dyDescent="0.25">
      <c r="D112" s="8"/>
      <c r="F112" s="13" t="s">
        <v>50</v>
      </c>
      <c r="G112" s="13"/>
      <c r="H112" s="13"/>
      <c r="I112" s="13"/>
      <c r="J112" s="13"/>
      <c r="K112" s="13"/>
      <c r="L112" s="13"/>
      <c r="M112" s="13"/>
    </row>
    <row r="113" spans="3:13" x14ac:dyDescent="0.25">
      <c r="D113" s="8"/>
      <c r="F113" t="s">
        <v>3</v>
      </c>
      <c r="G113" t="s">
        <v>8</v>
      </c>
      <c r="H113" t="s">
        <v>9</v>
      </c>
      <c r="I113" t="s">
        <v>10</v>
      </c>
      <c r="J113" t="s">
        <v>11</v>
      </c>
      <c r="K113" t="s">
        <v>12</v>
      </c>
      <c r="L113" t="s">
        <v>13</v>
      </c>
      <c r="M113" t="s">
        <v>6</v>
      </c>
    </row>
    <row r="114" spans="3:13" ht="15" customHeight="1" x14ac:dyDescent="0.25">
      <c r="C114" s="15" t="s">
        <v>49</v>
      </c>
      <c r="D114" s="14" t="s">
        <v>6</v>
      </c>
      <c r="E114" t="s">
        <v>51</v>
      </c>
      <c r="F114" s="9">
        <v>5.5713553108736717E-4</v>
      </c>
      <c r="G114" s="9">
        <v>1.6911534525287555E-3</v>
      </c>
      <c r="H114" s="9">
        <v>9.8508882848198339E-4</v>
      </c>
      <c r="I114" s="9">
        <v>7.4296702484026426E-4</v>
      </c>
      <c r="J114" s="9">
        <v>1.3632314550361582E-3</v>
      </c>
      <c r="K114" s="9">
        <v>1.0807404868885245E-3</v>
      </c>
      <c r="L114" s="9">
        <v>8.3570329663104279E-4</v>
      </c>
      <c r="M114" s="9">
        <v>5.809509445727716E-3</v>
      </c>
    </row>
    <row r="115" spans="3:13" x14ac:dyDescent="0.25">
      <c r="C115" s="15"/>
      <c r="D115" s="14"/>
      <c r="E115" t="s">
        <v>52</v>
      </c>
      <c r="F115" s="9">
        <v>5.366563145999515E-4</v>
      </c>
      <c r="G115" s="9">
        <v>1.9147845831842104E-3</v>
      </c>
      <c r="H115" s="9">
        <v>4.3543082114153741E-4</v>
      </c>
      <c r="I115" s="9">
        <v>1.1200000000000071E-3</v>
      </c>
      <c r="J115" s="9">
        <v>1.2319090875547634E-3</v>
      </c>
      <c r="K115" s="9">
        <v>1.2432216214336145E-3</v>
      </c>
      <c r="L115" s="9">
        <v>6.9971422738143415E-4</v>
      </c>
      <c r="M115" s="9">
        <v>2.8373226816842106E-3</v>
      </c>
    </row>
    <row r="116" spans="3:13" x14ac:dyDescent="0.25">
      <c r="C116" s="15"/>
      <c r="D116" s="8"/>
      <c r="F116" s="9"/>
      <c r="G116" s="9"/>
      <c r="H116" s="9"/>
      <c r="I116" s="9"/>
      <c r="J116" s="9"/>
      <c r="K116" s="9"/>
      <c r="L116" s="9"/>
      <c r="M116" s="9"/>
    </row>
    <row r="117" spans="3:13" x14ac:dyDescent="0.25">
      <c r="C117" s="15"/>
      <c r="D117" s="14" t="s">
        <v>3</v>
      </c>
      <c r="E117" t="s">
        <v>51</v>
      </c>
      <c r="F117" s="9">
        <v>8.0412934282987191E-3</v>
      </c>
      <c r="G117" s="9">
        <v>1.1661903789690934E-4</v>
      </c>
      <c r="H117" s="9">
        <v>7.2000000000000644E-4</v>
      </c>
      <c r="I117" s="9">
        <v>1.059433811051929E-3</v>
      </c>
      <c r="J117" s="9">
        <v>8.2316462509028122E-4</v>
      </c>
      <c r="K117" s="9">
        <v>2.8709580282546723E-3</v>
      </c>
      <c r="L117" s="9">
        <v>5.1224993899463215E-4</v>
      </c>
      <c r="M117" s="9">
        <v>2.6381811916545623E-4</v>
      </c>
    </row>
    <row r="118" spans="3:13" x14ac:dyDescent="0.25">
      <c r="C118" s="15"/>
      <c r="D118" s="14"/>
      <c r="E118" t="s">
        <v>52</v>
      </c>
      <c r="F118" s="9">
        <v>4.2857904755132506E-3</v>
      </c>
      <c r="G118" s="9">
        <v>5.2153619241621465E-4</v>
      </c>
      <c r="H118" s="9">
        <v>6.2801273872428785E-4</v>
      </c>
      <c r="I118" s="9">
        <v>4.8579831205964496E-4</v>
      </c>
      <c r="J118" s="9">
        <v>3.13917186531735E-3</v>
      </c>
      <c r="K118" s="9">
        <v>2.6007691170113461E-3</v>
      </c>
      <c r="L118" s="9">
        <v>8.3426614458456444E-4</v>
      </c>
      <c r="M118" s="9">
        <v>5.4405882034942114E-4</v>
      </c>
    </row>
    <row r="119" spans="3:13" x14ac:dyDescent="0.25">
      <c r="C119" s="15"/>
      <c r="D119" s="8"/>
      <c r="F119" s="9"/>
      <c r="G119" s="9"/>
      <c r="H119" s="9"/>
      <c r="I119" s="9"/>
      <c r="J119" s="9"/>
      <c r="K119" s="9"/>
      <c r="L119" s="9"/>
      <c r="M119" s="9"/>
    </row>
    <row r="120" spans="3:13" x14ac:dyDescent="0.25">
      <c r="C120" s="15"/>
      <c r="D120" s="14" t="s">
        <v>8</v>
      </c>
      <c r="E120" t="s">
        <v>51</v>
      </c>
      <c r="F120" s="9">
        <v>9.5414883535013502E-4</v>
      </c>
      <c r="G120" s="9">
        <v>6.3085339025799108E-3</v>
      </c>
      <c r="H120" s="9">
        <v>6.0860496218812096E-4</v>
      </c>
      <c r="I120" s="9">
        <v>3.216582036883275E-3</v>
      </c>
      <c r="J120" s="9">
        <v>1.3105723940324727E-3</v>
      </c>
      <c r="K120" s="9">
        <v>1.462326912834465E-3</v>
      </c>
      <c r="L120" s="9">
        <v>4.4899888641286773E-4</v>
      </c>
      <c r="M120" s="9">
        <v>2.2471315048301116E-3</v>
      </c>
    </row>
    <row r="121" spans="3:13" x14ac:dyDescent="0.25">
      <c r="C121" s="15"/>
      <c r="D121" s="14"/>
      <c r="E121" t="s">
        <v>52</v>
      </c>
      <c r="F121" s="9">
        <v>5.2383203414834876E-4</v>
      </c>
      <c r="G121" s="9">
        <v>5.1218746568029204E-3</v>
      </c>
      <c r="H121" s="9">
        <v>2.1908902300206892E-4</v>
      </c>
      <c r="I121" s="9">
        <v>9.0022219479413373E-4</v>
      </c>
      <c r="J121" s="9">
        <v>2.0195048898182908E-3</v>
      </c>
      <c r="K121" s="9">
        <v>5.9866518188381212E-4</v>
      </c>
      <c r="L121" s="9">
        <v>7.3864741250477843E-4</v>
      </c>
      <c r="M121" s="9">
        <v>2.2692730113408627E-3</v>
      </c>
    </row>
    <row r="122" spans="3:13" x14ac:dyDescent="0.25">
      <c r="C122" s="15"/>
      <c r="D122" s="8"/>
      <c r="F122" s="9"/>
      <c r="G122" s="9"/>
      <c r="H122" s="9"/>
      <c r="I122" s="9"/>
      <c r="J122" s="9"/>
      <c r="K122" s="9"/>
      <c r="L122" s="9"/>
      <c r="M122" s="9"/>
    </row>
    <row r="123" spans="3:13" x14ac:dyDescent="0.25">
      <c r="C123" s="15"/>
      <c r="D123" s="14" t="s">
        <v>9</v>
      </c>
      <c r="E123" t="s">
        <v>51</v>
      </c>
      <c r="F123" s="9">
        <v>2.5902895591033729E-3</v>
      </c>
      <c r="G123" s="9">
        <v>5.5641710972973606E-4</v>
      </c>
      <c r="H123" s="9">
        <v>2.5943014474035229E-3</v>
      </c>
      <c r="I123" s="9">
        <v>1.9595917942265479E-4</v>
      </c>
      <c r="J123" s="9">
        <v>1.6963490206912202E-3</v>
      </c>
      <c r="K123" s="9">
        <v>5.1536394906901112E-4</v>
      </c>
      <c r="L123" s="9">
        <v>1.2890306435457812E-3</v>
      </c>
      <c r="M123" s="9">
        <v>1.5561490931141496E-3</v>
      </c>
    </row>
    <row r="124" spans="3:13" x14ac:dyDescent="0.25">
      <c r="C124" s="15"/>
      <c r="D124" s="14"/>
      <c r="E124" t="s">
        <v>52</v>
      </c>
      <c r="F124" s="9">
        <v>2.1171679196511483E-3</v>
      </c>
      <c r="G124" s="9">
        <v>1.9376274151652621E-3</v>
      </c>
      <c r="H124" s="9">
        <v>1.7220917513303354E-3</v>
      </c>
      <c r="I124" s="9">
        <v>2.3151673805580657E-4</v>
      </c>
      <c r="J124" s="9">
        <v>2.0913153755471921E-3</v>
      </c>
      <c r="K124" s="9">
        <v>1.0665833300778672E-3</v>
      </c>
      <c r="L124" s="9">
        <v>6.9108610172686016E-4</v>
      </c>
      <c r="M124" s="9">
        <v>4.4899888641287744E-4</v>
      </c>
    </row>
    <row r="125" spans="3:13" x14ac:dyDescent="0.25">
      <c r="C125" s="15"/>
      <c r="D125" s="8"/>
      <c r="F125" s="9"/>
      <c r="G125" s="9"/>
      <c r="H125" s="9"/>
      <c r="I125" s="9"/>
      <c r="J125" s="9"/>
      <c r="K125" s="9"/>
      <c r="L125" s="9"/>
      <c r="M125" s="9"/>
    </row>
    <row r="126" spans="3:13" x14ac:dyDescent="0.25">
      <c r="C126" s="15"/>
      <c r="D126" s="14" t="s">
        <v>10</v>
      </c>
      <c r="E126" t="s">
        <v>51</v>
      </c>
      <c r="F126" s="9">
        <v>7.3375745311377721E-4</v>
      </c>
      <c r="G126" s="9">
        <v>4.5363421387721609E-3</v>
      </c>
      <c r="H126" s="9">
        <v>3.4409301068170591E-4</v>
      </c>
      <c r="I126" s="9">
        <v>1.9072493282211371E-3</v>
      </c>
      <c r="J126" s="9">
        <v>3.5440090293338653E-4</v>
      </c>
      <c r="K126" s="9">
        <v>1.884250514130228E-3</v>
      </c>
      <c r="L126" s="9">
        <v>2.5016794358990128E-3</v>
      </c>
      <c r="M126" s="9">
        <v>2.3267144216684529E-3</v>
      </c>
    </row>
    <row r="127" spans="3:13" x14ac:dyDescent="0.25">
      <c r="C127" s="15"/>
      <c r="D127" s="14"/>
      <c r="E127" t="s">
        <v>52</v>
      </c>
      <c r="F127" s="9">
        <v>1.500133327407927E-3</v>
      </c>
      <c r="G127" s="9">
        <v>2.7832355272236933E-3</v>
      </c>
      <c r="H127" s="9">
        <v>5.5353410012392104E-4</v>
      </c>
      <c r="I127" s="9">
        <v>2.1359775279716883E-3</v>
      </c>
      <c r="J127" s="9">
        <v>4.9558046773455022E-4</v>
      </c>
      <c r="K127" s="9">
        <v>2.477579463912282E-3</v>
      </c>
      <c r="L127" s="9">
        <v>1.5025311976794382E-3</v>
      </c>
      <c r="M127" s="9">
        <v>2.691170748949243E-3</v>
      </c>
    </row>
    <row r="128" spans="3:13" x14ac:dyDescent="0.25">
      <c r="C128" s="15"/>
      <c r="D128" s="8"/>
      <c r="F128" s="9"/>
      <c r="G128" s="9"/>
      <c r="H128" s="9"/>
      <c r="I128" s="9"/>
      <c r="J128" s="9"/>
      <c r="K128" s="9"/>
      <c r="L128" s="9"/>
      <c r="M128" s="9"/>
    </row>
    <row r="129" spans="3:13" x14ac:dyDescent="0.25">
      <c r="C129" s="15"/>
      <c r="D129" s="14" t="s">
        <v>11</v>
      </c>
      <c r="E129" t="s">
        <v>51</v>
      </c>
      <c r="F129" s="9">
        <v>9.3080610225759048E-4</v>
      </c>
      <c r="G129" s="9">
        <v>1.1464728518373317E-3</v>
      </c>
      <c r="H129" s="9">
        <v>1.2059850745345063E-3</v>
      </c>
      <c r="I129" s="9">
        <v>1.3166624472506256E-3</v>
      </c>
      <c r="J129" s="9">
        <v>5.311346345325282E-3</v>
      </c>
      <c r="K129" s="9">
        <v>4.2142615011410829E-4</v>
      </c>
      <c r="L129" s="9">
        <v>1.3951344021276176E-3</v>
      </c>
      <c r="M129" s="9">
        <v>7.6576758876306943E-4</v>
      </c>
    </row>
    <row r="130" spans="3:13" x14ac:dyDescent="0.25">
      <c r="C130" s="15"/>
      <c r="D130" s="14"/>
      <c r="E130" t="s">
        <v>52</v>
      </c>
      <c r="F130" s="9">
        <v>1.4664242223858721E-3</v>
      </c>
      <c r="G130" s="9">
        <v>8.9755222689266419E-4</v>
      </c>
      <c r="H130" s="9">
        <v>1.6460862674841613E-3</v>
      </c>
      <c r="I130" s="9">
        <v>9.0862533532803762E-4</v>
      </c>
      <c r="J130" s="9">
        <v>5.6403545987818932E-3</v>
      </c>
      <c r="K130" s="9">
        <v>4.6475800154488722E-4</v>
      </c>
      <c r="L130" s="9">
        <v>1.0091580649234646E-3</v>
      </c>
      <c r="M130" s="9">
        <v>1.1923086848631065E-3</v>
      </c>
    </row>
    <row r="131" spans="3:13" x14ac:dyDescent="0.25">
      <c r="C131" s="15"/>
      <c r="D131" s="8"/>
      <c r="F131" s="9"/>
      <c r="G131" s="9"/>
      <c r="H131" s="9"/>
      <c r="I131" s="9"/>
      <c r="J131" s="9"/>
      <c r="K131" s="9"/>
      <c r="L131" s="9"/>
      <c r="M131" s="9"/>
    </row>
    <row r="132" spans="3:13" x14ac:dyDescent="0.25">
      <c r="C132" s="15"/>
      <c r="D132" s="14" t="s">
        <v>12</v>
      </c>
      <c r="E132" t="s">
        <v>51</v>
      </c>
      <c r="F132" s="9">
        <v>3.9996999887491501E-3</v>
      </c>
      <c r="G132" s="9">
        <v>1.8644033898274452E-3</v>
      </c>
      <c r="H132" s="9">
        <v>2.2803508501982925E-4</v>
      </c>
      <c r="I132" s="9">
        <v>1.2448293055676545E-3</v>
      </c>
      <c r="J132" s="9">
        <v>1.075174404457253E-3</v>
      </c>
      <c r="K132" s="9">
        <v>6.5088862334503851E-3</v>
      </c>
      <c r="L132" s="9">
        <v>4.0496913462633306E-4</v>
      </c>
      <c r="M132" s="9">
        <v>3.0754511864115172E-3</v>
      </c>
    </row>
    <row r="133" spans="3:13" x14ac:dyDescent="0.25">
      <c r="C133" s="15"/>
      <c r="D133" s="14"/>
      <c r="E133" t="s">
        <v>52</v>
      </c>
      <c r="F133" s="9">
        <v>3.3238531856867523E-3</v>
      </c>
      <c r="G133" s="9">
        <v>1.9114392483152627E-3</v>
      </c>
      <c r="H133" s="9">
        <v>2.4819347291982159E-4</v>
      </c>
      <c r="I133" s="9">
        <v>7.4833147735480973E-4</v>
      </c>
      <c r="J133" s="9">
        <v>1.0067770358922583E-3</v>
      </c>
      <c r="K133" s="9">
        <v>5.6834496566785736E-3</v>
      </c>
      <c r="L133" s="9">
        <v>2.4819347291981817E-4</v>
      </c>
      <c r="M133" s="9">
        <v>2.248910847499304E-3</v>
      </c>
    </row>
    <row r="134" spans="3:13" x14ac:dyDescent="0.25">
      <c r="C134" s="15"/>
      <c r="D134" s="8"/>
      <c r="F134" s="9"/>
      <c r="G134" s="9"/>
      <c r="H134" s="9"/>
      <c r="I134" s="9"/>
      <c r="J134" s="9"/>
      <c r="K134" s="9"/>
      <c r="L134" s="9"/>
      <c r="M134" s="9"/>
    </row>
    <row r="135" spans="3:13" x14ac:dyDescent="0.25">
      <c r="C135" s="15"/>
      <c r="D135" s="14" t="s">
        <v>13</v>
      </c>
      <c r="E135" t="s">
        <v>51</v>
      </c>
      <c r="F135" s="9">
        <v>1.2859237924542862E-3</v>
      </c>
      <c r="G135" s="9">
        <v>4.4566355022595287E-3</v>
      </c>
      <c r="H135" s="9">
        <v>2.0039960079800611E-3</v>
      </c>
      <c r="I135" s="9">
        <v>1.4813507349712934E-3</v>
      </c>
      <c r="J135" s="9">
        <v>6.0074620265133374E-3</v>
      </c>
      <c r="K135" s="9">
        <v>2.4467120795058769E-3</v>
      </c>
      <c r="L135" s="9">
        <v>6.8304026235647226E-3</v>
      </c>
      <c r="M135" s="9">
        <v>1.2806248474865709E-3</v>
      </c>
    </row>
    <row r="136" spans="3:13" x14ac:dyDescent="0.25">
      <c r="C136" s="15"/>
      <c r="D136" s="14"/>
      <c r="E136" t="s">
        <v>52</v>
      </c>
      <c r="F136" s="9">
        <v>3.37733622844986E-3</v>
      </c>
      <c r="G136" s="9">
        <v>2.1969069165533655E-3</v>
      </c>
      <c r="H136" s="9">
        <v>1.0403845442911901E-3</v>
      </c>
      <c r="I136" s="9">
        <v>3.8246568473524491E-3</v>
      </c>
      <c r="J136" s="9">
        <v>4.1768887943061132E-3</v>
      </c>
      <c r="K136" s="9">
        <v>2.2303362975120925E-3</v>
      </c>
      <c r="L136" s="9">
        <v>4.1376321731154339E-3</v>
      </c>
      <c r="M136" s="9">
        <v>1.1217842929904128E-3</v>
      </c>
    </row>
    <row r="137" spans="3:13" x14ac:dyDescent="0.25">
      <c r="F137" s="9"/>
      <c r="G137" s="9"/>
      <c r="H137" s="9"/>
      <c r="I137" s="9"/>
      <c r="J137" s="9"/>
      <c r="K137" s="9"/>
      <c r="L137" s="9"/>
      <c r="M137" s="9"/>
    </row>
  </sheetData>
  <mergeCells count="10">
    <mergeCell ref="F112:M112"/>
    <mergeCell ref="D114:D115"/>
    <mergeCell ref="D120:D121"/>
    <mergeCell ref="D135:D136"/>
    <mergeCell ref="C114:C136"/>
    <mergeCell ref="D126:D127"/>
    <mergeCell ref="D117:D118"/>
    <mergeCell ref="D123:D124"/>
    <mergeCell ref="D129:D130"/>
    <mergeCell ref="D132:D13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C65F9-4086-4845-8DBB-4E0A363205BC}">
  <dimension ref="A2:AH19"/>
  <sheetViews>
    <sheetView topLeftCell="K1" workbookViewId="0">
      <selection activeCell="Z32" sqref="Z32"/>
    </sheetView>
  </sheetViews>
  <sheetFormatPr defaultRowHeight="15" x14ac:dyDescent="0.25"/>
  <sheetData>
    <row r="2" spans="1:34" x14ac:dyDescent="0.25">
      <c r="AE2" s="13" t="s">
        <v>57</v>
      </c>
      <c r="AF2" s="13"/>
      <c r="AG2" s="13"/>
      <c r="AH2" s="13"/>
    </row>
    <row r="3" spans="1:34" x14ac:dyDescent="0.25">
      <c r="A3" s="3">
        <v>1</v>
      </c>
      <c r="B3" t="s">
        <v>0</v>
      </c>
      <c r="D3" t="s">
        <v>1</v>
      </c>
      <c r="E3">
        <v>1.2125999999999999</v>
      </c>
      <c r="F3">
        <v>1.3915999999999999</v>
      </c>
      <c r="G3" t="s">
        <v>2</v>
      </c>
      <c r="H3">
        <v>0</v>
      </c>
      <c r="I3">
        <v>0</v>
      </c>
      <c r="AE3" s="13" t="s">
        <v>55</v>
      </c>
      <c r="AF3" s="13"/>
      <c r="AG3" s="13" t="s">
        <v>56</v>
      </c>
      <c r="AH3" s="13"/>
    </row>
    <row r="4" spans="1:34" x14ac:dyDescent="0.25">
      <c r="A4" s="3">
        <v>2</v>
      </c>
      <c r="B4" t="s">
        <v>0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AE4" t="s">
        <v>51</v>
      </c>
      <c r="AF4" t="s">
        <v>52</v>
      </c>
      <c r="AG4" t="s">
        <v>51</v>
      </c>
      <c r="AH4" t="s">
        <v>52</v>
      </c>
    </row>
    <row r="5" spans="1:34" x14ac:dyDescent="0.25">
      <c r="A5" s="3">
        <v>3</v>
      </c>
      <c r="B5" t="s">
        <v>0</v>
      </c>
      <c r="D5" t="s">
        <v>6</v>
      </c>
      <c r="J5" t="s">
        <v>8</v>
      </c>
      <c r="K5">
        <v>0.27400000000000002</v>
      </c>
      <c r="L5">
        <v>0.27839999999999998</v>
      </c>
      <c r="M5" t="s">
        <v>9</v>
      </c>
      <c r="N5">
        <v>0.7782</v>
      </c>
      <c r="O5">
        <v>0.79079999999999995</v>
      </c>
      <c r="P5" t="s">
        <v>10</v>
      </c>
      <c r="Q5">
        <v>0.27550000000000002</v>
      </c>
      <c r="R5">
        <v>0.27910000000000001</v>
      </c>
      <c r="S5" t="s">
        <v>11</v>
      </c>
      <c r="T5">
        <v>0.77690000000000003</v>
      </c>
      <c r="U5">
        <v>0.79079999999999995</v>
      </c>
      <c r="V5" t="s">
        <v>12</v>
      </c>
      <c r="W5">
        <v>0.27560000000000001</v>
      </c>
      <c r="X5">
        <v>0.27789999999999998</v>
      </c>
      <c r="Y5" t="s">
        <v>13</v>
      </c>
      <c r="Z5">
        <v>0.77829999999999999</v>
      </c>
      <c r="AA5">
        <v>0.79</v>
      </c>
      <c r="AC5" s="15" t="s">
        <v>54</v>
      </c>
      <c r="AD5" t="s">
        <v>3</v>
      </c>
      <c r="AE5" s="9">
        <f>_xlfn.STDEV.P(E5,K5,Q5,W5)</f>
        <v>7.3181661333666947E-4</v>
      </c>
      <c r="AF5" s="9">
        <f>_xlfn.STDEV.P(F5,L5,R5,X5)</f>
        <v>4.9216076867446149E-4</v>
      </c>
      <c r="AG5" s="9">
        <f>_xlfn.STDEV.P(H5,N5,T5,Z5)</f>
        <v>6.3770421565694836E-4</v>
      </c>
      <c r="AH5" s="9">
        <f>_xlfn.STDEV.P(I5,O5,U5,AA5)</f>
        <v>3.7712361663278383E-4</v>
      </c>
    </row>
    <row r="6" spans="1:34" x14ac:dyDescent="0.25">
      <c r="A6" s="3">
        <v>4</v>
      </c>
      <c r="B6" t="s">
        <v>0</v>
      </c>
      <c r="C6" t="s">
        <v>8</v>
      </c>
      <c r="D6" t="s">
        <v>4</v>
      </c>
      <c r="E6" t="s">
        <v>5</v>
      </c>
      <c r="F6" t="s">
        <v>3</v>
      </c>
      <c r="G6" t="s">
        <v>7</v>
      </c>
      <c r="AC6" s="15"/>
      <c r="AE6" s="9"/>
      <c r="AF6" s="9"/>
      <c r="AG6" s="9"/>
      <c r="AH6" s="9"/>
    </row>
    <row r="7" spans="1:34" x14ac:dyDescent="0.25">
      <c r="A7" s="3">
        <v>5</v>
      </c>
      <c r="B7" t="s">
        <v>0</v>
      </c>
      <c r="D7" t="s">
        <v>6</v>
      </c>
      <c r="E7">
        <v>0.86309999999999998</v>
      </c>
      <c r="F7">
        <v>0.87780000000000002</v>
      </c>
      <c r="M7" t="s">
        <v>9</v>
      </c>
      <c r="N7">
        <v>0.3624</v>
      </c>
      <c r="O7">
        <v>0.36630000000000001</v>
      </c>
      <c r="P7" t="s">
        <v>10</v>
      </c>
      <c r="Q7">
        <v>0.87370000000000003</v>
      </c>
      <c r="R7">
        <v>0.88590000000000002</v>
      </c>
      <c r="S7" t="s">
        <v>11</v>
      </c>
      <c r="T7">
        <v>0.3634</v>
      </c>
      <c r="U7">
        <v>0.36830000000000002</v>
      </c>
      <c r="V7" t="s">
        <v>12</v>
      </c>
      <c r="W7">
        <v>0.86350000000000005</v>
      </c>
      <c r="X7">
        <v>0.87890000000000001</v>
      </c>
      <c r="Y7" t="s">
        <v>13</v>
      </c>
      <c r="Z7">
        <v>0.36330000000000001</v>
      </c>
      <c r="AA7">
        <v>0.36770000000000003</v>
      </c>
      <c r="AC7" s="15"/>
      <c r="AD7" t="s">
        <v>8</v>
      </c>
      <c r="AE7" s="9">
        <f t="shared" ref="AE7:AE19" si="0">_xlfn.STDEV.P(E7,K7,Q7,W7)</f>
        <v>4.9053259037725849E-3</v>
      </c>
      <c r="AF7" s="9">
        <f t="shared" ref="AF7:AF19" si="1">_xlfn.STDEV.P(F7,L7,R7,X7)</f>
        <v>3.5873233599564023E-3</v>
      </c>
      <c r="AG7" s="9">
        <f t="shared" ref="AG7:AG19" si="2">_xlfn.STDEV.P(H7,N7,T7,Z7)</f>
        <v>4.496912521077373E-4</v>
      </c>
      <c r="AH7" s="9">
        <f t="shared" ref="AH7:AH19" si="3">_xlfn.STDEV.P(I7,O7,U7,AA7)</f>
        <v>8.3798700599843764E-4</v>
      </c>
    </row>
    <row r="8" spans="1:34" x14ac:dyDescent="0.25">
      <c r="A8" s="3">
        <v>6</v>
      </c>
      <c r="B8" t="s">
        <v>0</v>
      </c>
      <c r="C8" t="s">
        <v>9</v>
      </c>
      <c r="D8" t="s">
        <v>4</v>
      </c>
      <c r="E8" t="s">
        <v>5</v>
      </c>
      <c r="F8" t="s">
        <v>8</v>
      </c>
      <c r="G8" t="s">
        <v>7</v>
      </c>
      <c r="AC8" s="15"/>
      <c r="AE8" s="9"/>
      <c r="AF8" s="9"/>
      <c r="AG8" s="9"/>
      <c r="AH8" s="9"/>
    </row>
    <row r="9" spans="1:34" x14ac:dyDescent="0.25">
      <c r="A9" s="3">
        <v>7</v>
      </c>
      <c r="B9" t="s">
        <v>0</v>
      </c>
      <c r="D9" t="s">
        <v>6</v>
      </c>
      <c r="E9">
        <v>0.18590000000000001</v>
      </c>
      <c r="F9">
        <v>0.18640000000000001</v>
      </c>
      <c r="G9" t="s">
        <v>3</v>
      </c>
      <c r="H9">
        <v>0.6855</v>
      </c>
      <c r="I9">
        <v>0.69640000000000002</v>
      </c>
      <c r="P9" t="s">
        <v>10</v>
      </c>
      <c r="Q9">
        <v>0.1832</v>
      </c>
      <c r="R9">
        <v>0.18759999999999999</v>
      </c>
      <c r="S9" t="s">
        <v>11</v>
      </c>
      <c r="T9">
        <v>0.68440000000000001</v>
      </c>
      <c r="U9">
        <v>0.69630000000000003</v>
      </c>
      <c r="V9" t="s">
        <v>12</v>
      </c>
      <c r="W9">
        <v>0.18240000000000001</v>
      </c>
      <c r="X9">
        <v>0.186</v>
      </c>
      <c r="Y9" t="s">
        <v>13</v>
      </c>
      <c r="Z9">
        <v>0.68769999999999998</v>
      </c>
      <c r="AA9">
        <v>0.69810000000000005</v>
      </c>
      <c r="AC9" s="15"/>
      <c r="AD9" t="s">
        <v>9</v>
      </c>
      <c r="AE9" s="9">
        <f t="shared" si="0"/>
        <v>1.4974051630144156E-3</v>
      </c>
      <c r="AF9" s="9">
        <f t="shared" si="1"/>
        <v>6.7986926847903213E-4</v>
      </c>
      <c r="AG9" s="9">
        <f t="shared" si="2"/>
        <v>1.3719410418170993E-3</v>
      </c>
      <c r="AH9" s="9">
        <f t="shared" si="3"/>
        <v>8.2596744622427133E-4</v>
      </c>
    </row>
    <row r="10" spans="1:34" x14ac:dyDescent="0.25">
      <c r="A10" s="3">
        <v>8</v>
      </c>
      <c r="B10" t="s">
        <v>0</v>
      </c>
      <c r="C10" t="s">
        <v>10</v>
      </c>
      <c r="D10" t="s">
        <v>4</v>
      </c>
      <c r="E10" t="s">
        <v>5</v>
      </c>
      <c r="F10" t="s">
        <v>9</v>
      </c>
      <c r="G10" t="s">
        <v>7</v>
      </c>
      <c r="AC10" s="15"/>
      <c r="AE10" s="9"/>
      <c r="AF10" s="9"/>
      <c r="AG10" s="9"/>
      <c r="AH10" s="9"/>
    </row>
    <row r="11" spans="1:34" x14ac:dyDescent="0.25">
      <c r="A11" s="3">
        <v>9</v>
      </c>
      <c r="B11" t="s">
        <v>0</v>
      </c>
      <c r="D11" t="s">
        <v>6</v>
      </c>
      <c r="E11">
        <v>0.72570000000000001</v>
      </c>
      <c r="F11">
        <v>0.73719999999999997</v>
      </c>
      <c r="G11" t="s">
        <v>3</v>
      </c>
      <c r="H11">
        <v>0.21959999999999999</v>
      </c>
      <c r="I11">
        <v>0.2253</v>
      </c>
      <c r="J11" t="s">
        <v>8</v>
      </c>
      <c r="K11">
        <v>0.72230000000000005</v>
      </c>
      <c r="L11">
        <v>0.73729999999999996</v>
      </c>
      <c r="S11" t="s">
        <v>11</v>
      </c>
      <c r="T11">
        <v>0.2198</v>
      </c>
      <c r="U11">
        <v>0.2271</v>
      </c>
      <c r="V11" t="s">
        <v>12</v>
      </c>
      <c r="W11">
        <v>0.72289999999999999</v>
      </c>
      <c r="X11">
        <v>0.73550000000000004</v>
      </c>
      <c r="Y11" t="s">
        <v>13</v>
      </c>
      <c r="Z11">
        <v>0.22320000000000001</v>
      </c>
      <c r="AA11">
        <v>0.22409999999999999</v>
      </c>
      <c r="AC11" s="15"/>
      <c r="AD11" t="s">
        <v>10</v>
      </c>
      <c r="AE11" s="9">
        <f t="shared" si="0"/>
        <v>1.4817407180595162E-3</v>
      </c>
      <c r="AF11" s="9">
        <f t="shared" si="1"/>
        <v>8.2596744622421918E-4</v>
      </c>
      <c r="AG11" s="9">
        <f t="shared" si="2"/>
        <v>1.6519348924485236E-3</v>
      </c>
      <c r="AH11" s="9">
        <f t="shared" si="3"/>
        <v>1.2328828005937959E-3</v>
      </c>
    </row>
    <row r="12" spans="1:34" x14ac:dyDescent="0.25">
      <c r="A12" s="3">
        <v>10</v>
      </c>
      <c r="B12" t="s">
        <v>0</v>
      </c>
      <c r="C12" t="s">
        <v>11</v>
      </c>
      <c r="D12" t="s">
        <v>4</v>
      </c>
      <c r="E12" t="s">
        <v>5</v>
      </c>
      <c r="F12" t="s">
        <v>10</v>
      </c>
      <c r="G12" t="s">
        <v>7</v>
      </c>
      <c r="AC12" s="15"/>
      <c r="AE12" s="9"/>
      <c r="AF12" s="9"/>
      <c r="AG12" s="9"/>
      <c r="AH12" s="9"/>
    </row>
    <row r="13" spans="1:34" x14ac:dyDescent="0.25">
      <c r="A13" s="3">
        <v>11</v>
      </c>
      <c r="B13" t="s">
        <v>0</v>
      </c>
      <c r="D13" t="s">
        <v>6</v>
      </c>
      <c r="E13">
        <v>0.2422</v>
      </c>
      <c r="F13">
        <v>0.2455</v>
      </c>
      <c r="G13" t="s">
        <v>3</v>
      </c>
      <c r="H13">
        <v>0.74270000000000003</v>
      </c>
      <c r="I13">
        <v>0.75170000000000003</v>
      </c>
      <c r="J13" t="s">
        <v>8</v>
      </c>
      <c r="K13">
        <v>0.2359</v>
      </c>
      <c r="L13">
        <v>0.24279999999999999</v>
      </c>
      <c r="M13" t="s">
        <v>9</v>
      </c>
      <c r="N13">
        <v>0.73929999999999996</v>
      </c>
      <c r="O13">
        <v>0.75219999999999998</v>
      </c>
      <c r="V13" t="s">
        <v>12</v>
      </c>
      <c r="W13">
        <v>0.2392</v>
      </c>
      <c r="X13">
        <v>0.24229999999999999</v>
      </c>
      <c r="Y13" t="s">
        <v>13</v>
      </c>
      <c r="Z13">
        <v>0.73160000000000003</v>
      </c>
      <c r="AA13">
        <v>0.74829999999999997</v>
      </c>
      <c r="AC13" s="15"/>
      <c r="AD13" t="s">
        <v>11</v>
      </c>
      <c r="AE13" s="9">
        <f t="shared" si="0"/>
        <v>2.5729360660537216E-3</v>
      </c>
      <c r="AF13" s="9">
        <f t="shared" si="1"/>
        <v>1.4055445761538715E-3</v>
      </c>
      <c r="AG13" s="9">
        <f t="shared" si="2"/>
        <v>4.6435139950496704E-3</v>
      </c>
      <c r="AH13" s="9">
        <f t="shared" si="3"/>
        <v>1.7326921891156206E-3</v>
      </c>
    </row>
    <row r="14" spans="1:34" x14ac:dyDescent="0.25">
      <c r="A14" s="3">
        <v>12</v>
      </c>
      <c r="B14" t="s">
        <v>0</v>
      </c>
      <c r="C14" t="s">
        <v>12</v>
      </c>
      <c r="D14" t="s">
        <v>4</v>
      </c>
      <c r="E14" t="s">
        <v>5</v>
      </c>
      <c r="F14" t="s">
        <v>11</v>
      </c>
      <c r="G14" t="s">
        <v>7</v>
      </c>
      <c r="AC14" s="15"/>
      <c r="AE14" s="9"/>
      <c r="AF14" s="9"/>
      <c r="AG14" s="9"/>
      <c r="AH14" s="9"/>
    </row>
    <row r="15" spans="1:34" x14ac:dyDescent="0.25">
      <c r="A15" s="3">
        <v>13</v>
      </c>
      <c r="B15" t="s">
        <v>0</v>
      </c>
      <c r="D15" t="s">
        <v>6</v>
      </c>
      <c r="E15">
        <v>0.84119999999999995</v>
      </c>
      <c r="F15">
        <v>0.85599999999999998</v>
      </c>
      <c r="G15" t="s">
        <v>3</v>
      </c>
      <c r="H15">
        <v>0.33810000000000001</v>
      </c>
      <c r="I15">
        <v>0.34339999999999998</v>
      </c>
      <c r="J15" t="s">
        <v>8</v>
      </c>
      <c r="K15">
        <v>0.83730000000000004</v>
      </c>
      <c r="L15">
        <v>0.85360000000000003</v>
      </c>
      <c r="M15" t="s">
        <v>9</v>
      </c>
      <c r="N15">
        <v>0.33939999999999998</v>
      </c>
      <c r="O15">
        <v>0.34320000000000001</v>
      </c>
      <c r="P15" t="s">
        <v>10</v>
      </c>
      <c r="Q15">
        <v>0.84179999999999999</v>
      </c>
      <c r="R15">
        <v>0.85160000000000002</v>
      </c>
      <c r="Y15" t="s">
        <v>13</v>
      </c>
      <c r="Z15">
        <v>0.33889999999999998</v>
      </c>
      <c r="AA15">
        <v>0.34389999999999998</v>
      </c>
      <c r="AC15" s="15"/>
      <c r="AD15" t="s">
        <v>12</v>
      </c>
      <c r="AE15" s="9">
        <f t="shared" si="0"/>
        <v>1.9949937343259677E-3</v>
      </c>
      <c r="AF15" s="9">
        <f t="shared" si="1"/>
        <v>1.7987650084309219E-3</v>
      </c>
      <c r="AG15" s="9">
        <f t="shared" si="2"/>
        <v>5.3541261347361964E-4</v>
      </c>
      <c r="AH15" s="9">
        <f t="shared" si="3"/>
        <v>2.9439202887758759E-4</v>
      </c>
    </row>
    <row r="16" spans="1:34" x14ac:dyDescent="0.25">
      <c r="A16" s="3">
        <v>14</v>
      </c>
      <c r="B16" t="s">
        <v>0</v>
      </c>
      <c r="C16" t="s">
        <v>13</v>
      </c>
      <c r="D16" t="s">
        <v>4</v>
      </c>
      <c r="E16" t="s">
        <v>5</v>
      </c>
      <c r="F16" t="s">
        <v>12</v>
      </c>
      <c r="G16" t="s">
        <v>7</v>
      </c>
      <c r="AC16" s="15"/>
      <c r="AE16" s="9"/>
      <c r="AF16" s="9"/>
      <c r="AG16" s="9"/>
      <c r="AH16" s="9"/>
    </row>
    <row r="17" spans="1:34" x14ac:dyDescent="0.25">
      <c r="A17" s="3">
        <v>15</v>
      </c>
      <c r="B17" t="s">
        <v>0</v>
      </c>
      <c r="D17" t="s">
        <v>6</v>
      </c>
      <c r="E17">
        <v>0.1759</v>
      </c>
      <c r="F17">
        <v>0.1794</v>
      </c>
      <c r="G17" t="s">
        <v>3</v>
      </c>
      <c r="H17">
        <v>0.67889999999999995</v>
      </c>
      <c r="I17">
        <v>0.6895</v>
      </c>
      <c r="J17" t="s">
        <v>8</v>
      </c>
      <c r="K17">
        <v>0.17530000000000001</v>
      </c>
      <c r="L17">
        <v>0.1782</v>
      </c>
      <c r="M17" t="s">
        <v>9</v>
      </c>
      <c r="N17">
        <v>0.67900000000000005</v>
      </c>
      <c r="O17">
        <v>0.6905</v>
      </c>
      <c r="P17" t="s">
        <v>10</v>
      </c>
      <c r="Q17">
        <v>0.1709</v>
      </c>
      <c r="R17">
        <v>0.17549999999999999</v>
      </c>
      <c r="S17" t="s">
        <v>11</v>
      </c>
      <c r="T17">
        <v>0.67989999999999995</v>
      </c>
      <c r="U17">
        <v>0.68940000000000001</v>
      </c>
      <c r="AC17" s="15"/>
      <c r="AD17" t="s">
        <v>13</v>
      </c>
      <c r="AE17" s="9">
        <f t="shared" si="0"/>
        <v>2.2291004663067358E-3</v>
      </c>
      <c r="AF17" s="9">
        <f t="shared" si="1"/>
        <v>1.6309506430300148E-3</v>
      </c>
      <c r="AG17" s="9">
        <f t="shared" si="2"/>
        <v>4.4969125210771535E-4</v>
      </c>
      <c r="AH17" s="9">
        <f t="shared" si="3"/>
        <v>4.9665548085837551E-4</v>
      </c>
    </row>
    <row r="18" spans="1:34" x14ac:dyDescent="0.25">
      <c r="A18" s="3">
        <v>16</v>
      </c>
      <c r="B18" t="s">
        <v>0</v>
      </c>
      <c r="C18" t="s">
        <v>6</v>
      </c>
      <c r="D18" t="s">
        <v>4</v>
      </c>
      <c r="E18" t="s">
        <v>5</v>
      </c>
      <c r="F18" t="s">
        <v>13</v>
      </c>
      <c r="G18" t="s">
        <v>7</v>
      </c>
      <c r="AC18" s="15"/>
      <c r="AE18" s="9"/>
      <c r="AF18" s="9"/>
      <c r="AG18" s="9"/>
      <c r="AH18" s="9"/>
    </row>
    <row r="19" spans="1:34" x14ac:dyDescent="0.25">
      <c r="A19" s="3">
        <v>17</v>
      </c>
      <c r="B19" t="s">
        <v>0</v>
      </c>
      <c r="G19" t="s">
        <v>3</v>
      </c>
      <c r="H19">
        <v>0.44719999999999999</v>
      </c>
      <c r="I19">
        <v>0.45479999999999998</v>
      </c>
      <c r="J19" t="s">
        <v>8</v>
      </c>
      <c r="K19">
        <v>0.92130000000000001</v>
      </c>
      <c r="L19">
        <v>0.93830000000000002</v>
      </c>
      <c r="M19" t="s">
        <v>9</v>
      </c>
      <c r="N19">
        <v>0.44769999999999999</v>
      </c>
      <c r="O19">
        <v>0.45519999999999999</v>
      </c>
      <c r="P19" t="s">
        <v>10</v>
      </c>
      <c r="Q19">
        <v>0.92449999999999999</v>
      </c>
      <c r="R19">
        <v>0.94289999999999996</v>
      </c>
      <c r="S19" t="s">
        <v>11</v>
      </c>
      <c r="T19">
        <v>0.4476</v>
      </c>
      <c r="U19">
        <v>0.4556</v>
      </c>
      <c r="V19" t="s">
        <v>12</v>
      </c>
      <c r="W19">
        <v>0.92320000000000002</v>
      </c>
      <c r="X19">
        <v>0.93910000000000005</v>
      </c>
      <c r="AC19" s="15"/>
      <c r="AD19" t="s">
        <v>53</v>
      </c>
      <c r="AE19" s="9">
        <f t="shared" si="0"/>
        <v>1.3140268896284614E-3</v>
      </c>
      <c r="AF19" s="9">
        <f t="shared" si="1"/>
        <v>2.0066555924389555E-3</v>
      </c>
      <c r="AG19" s="9">
        <f t="shared" si="2"/>
        <v>2.1602468994693058E-4</v>
      </c>
      <c r="AH19" s="9">
        <f t="shared" si="3"/>
        <v>3.2659863237109976E-4</v>
      </c>
    </row>
  </sheetData>
  <mergeCells count="4">
    <mergeCell ref="AC5:AC19"/>
    <mergeCell ref="AE3:AF3"/>
    <mergeCell ref="AG3:AH3"/>
    <mergeCell ref="AE2:A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Dado Bruto</vt:lpstr>
      <vt:lpstr>Dados processados</vt:lpstr>
      <vt:lpstr>Sheet1</vt:lpstr>
      <vt:lpstr>CONFIGURACAO</vt:lpstr>
      <vt:lpstr>Acurácia</vt:lpstr>
      <vt:lpstr>DP</vt:lpstr>
      <vt:lpstr>DP2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Mirela Tomazini</dc:creator>
  <cp:lastModifiedBy>Mirela Tomazini</cp:lastModifiedBy>
  <dcterms:created xsi:type="dcterms:W3CDTF">2026-03-21T23:30:36Z</dcterms:created>
  <dcterms:modified xsi:type="dcterms:W3CDTF">2026-03-24T04:38:09Z</dcterms:modified>
</cp:coreProperties>
</file>