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rel\Downloads\Jig RC\"/>
    </mc:Choice>
  </mc:AlternateContent>
  <xr:revisionPtr revIDLastSave="0" documentId="13_ncr:1_{58C1AB9D-3D62-4029-BB18-E6AE244F198F}" xr6:coauthVersionLast="47" xr6:coauthVersionMax="47" xr10:uidLastSave="{00000000-0000-0000-0000-000000000000}"/>
  <bookViews>
    <workbookView xWindow="-120" yWindow="-120" windowWidth="29040" windowHeight="15720" activeTab="1" xr2:uid="{AB6CA22B-47ED-44AC-98CB-23E00439EEA1}"/>
  </bookViews>
  <sheets>
    <sheet name="Dado Bruto" sheetId="4" r:id="rId1"/>
    <sheet name="Dados processados" sheetId="5" r:id="rId2"/>
    <sheet name="Config Multisim" sheetId="6" r:id="rId3"/>
    <sheet name="Acurácia" sheetId="7" state="hidden" r:id="rId4"/>
    <sheet name="Acurácia e DP" sheetId="8" r:id="rId5"/>
    <sheet name="DP2" sheetId="9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C21" i="5" l="1"/>
  <c r="AG7" i="9"/>
  <c r="AG11" i="9"/>
  <c r="AC33" i="9"/>
  <c r="AF5" i="9" l="1"/>
  <c r="R105" i="5" l="1"/>
  <c r="S105" i="5"/>
  <c r="J23" i="5"/>
  <c r="I23" i="5"/>
  <c r="G10" i="5"/>
  <c r="F11" i="5"/>
  <c r="F10" i="5"/>
  <c r="A3" i="4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4" i="9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I19" i="9"/>
  <c r="AH19" i="9"/>
  <c r="AG19" i="9"/>
  <c r="AF19" i="9"/>
  <c r="AI17" i="9"/>
  <c r="AH17" i="9"/>
  <c r="AG17" i="9"/>
  <c r="AF17" i="9"/>
  <c r="AI15" i="9"/>
  <c r="AH15" i="9"/>
  <c r="AG15" i="9"/>
  <c r="AF15" i="9"/>
  <c r="AI13" i="9"/>
  <c r="AH13" i="9"/>
  <c r="AG13" i="9"/>
  <c r="AF13" i="9"/>
  <c r="AI11" i="9"/>
  <c r="AH11" i="9"/>
  <c r="AF11" i="9"/>
  <c r="AI9" i="9"/>
  <c r="AH9" i="9"/>
  <c r="AG9" i="9"/>
  <c r="AF9" i="9"/>
  <c r="AI7" i="9"/>
  <c r="AH7" i="9"/>
  <c r="AF7" i="9"/>
  <c r="AI5" i="9"/>
  <c r="AH5" i="9"/>
  <c r="AG5" i="9"/>
  <c r="B2" i="5" l="1" a="1"/>
  <c r="F7" i="5" s="1"/>
  <c r="B14" i="5" a="1"/>
  <c r="U19" i="5" s="1"/>
  <c r="B50" i="5" a="1"/>
  <c r="U56" i="5" s="1"/>
  <c r="B38" i="5" a="1"/>
  <c r="L44" i="5" s="1"/>
  <c r="B86" i="5" a="1"/>
  <c r="X92" i="5" s="1"/>
  <c r="B26" i="5" a="1"/>
  <c r="I31" i="5" s="1"/>
  <c r="B98" i="5" a="1"/>
  <c r="F103" i="5" s="1"/>
  <c r="B74" i="5" a="1"/>
  <c r="AB80" i="5" s="1"/>
  <c r="B62" i="5" a="1"/>
  <c r="J68" i="5" s="1"/>
  <c r="M56" i="5" l="1"/>
  <c r="AB67" i="5"/>
  <c r="R19" i="5"/>
  <c r="I56" i="5"/>
  <c r="G92" i="5"/>
  <c r="S104" i="5"/>
  <c r="S20" i="5"/>
  <c r="F43" i="5"/>
  <c r="G80" i="5"/>
  <c r="J55" i="5"/>
  <c r="J57" i="5" s="1"/>
  <c r="F55" i="5"/>
  <c r="F59" i="5" s="1"/>
  <c r="F8" i="5"/>
  <c r="F9" i="5" s="1"/>
  <c r="AB79" i="5"/>
  <c r="AB83" i="5" s="1"/>
  <c r="AB44" i="5"/>
  <c r="U68" i="5"/>
  <c r="U69" i="5" s="1"/>
  <c r="L67" i="5"/>
  <c r="L71" i="5" s="1"/>
  <c r="M20" i="5"/>
  <c r="J56" i="5"/>
  <c r="P55" i="5"/>
  <c r="R44" i="5"/>
  <c r="P44" i="5"/>
  <c r="V44" i="5"/>
  <c r="B86" i="5"/>
  <c r="U92" i="5"/>
  <c r="AA32" i="5"/>
  <c r="X32" i="5"/>
  <c r="X33" i="5" s="1"/>
  <c r="X68" i="5"/>
  <c r="I67" i="5"/>
  <c r="I71" i="5" s="1"/>
  <c r="R104" i="5"/>
  <c r="V103" i="5"/>
  <c r="V105" i="5" s="1"/>
  <c r="J80" i="5"/>
  <c r="F79" i="5"/>
  <c r="F83" i="5" s="1"/>
  <c r="M19" i="5"/>
  <c r="J19" i="5"/>
  <c r="B50" i="5"/>
  <c r="P91" i="5"/>
  <c r="R103" i="5"/>
  <c r="V55" i="5"/>
  <c r="G68" i="5"/>
  <c r="P19" i="5"/>
  <c r="AA68" i="5"/>
  <c r="AF16" i="5"/>
  <c r="J91" i="5"/>
  <c r="J95" i="5" s="1"/>
  <c r="P104" i="5"/>
  <c r="S55" i="5"/>
  <c r="S59" i="5" s="1"/>
  <c r="M44" i="5"/>
  <c r="M45" i="5" s="1"/>
  <c r="F91" i="5"/>
  <c r="R31" i="5"/>
  <c r="R35" i="5" s="1"/>
  <c r="S67" i="5"/>
  <c r="S68" i="5"/>
  <c r="P56" i="5"/>
  <c r="O103" i="5"/>
  <c r="G7" i="5"/>
  <c r="G9" i="5" s="1"/>
  <c r="AA91" i="5"/>
  <c r="AA95" i="5" s="1"/>
  <c r="M67" i="5"/>
  <c r="I19" i="5"/>
  <c r="O92" i="5"/>
  <c r="X80" i="5"/>
  <c r="X81" i="5" s="1"/>
  <c r="Y20" i="5"/>
  <c r="Y55" i="5"/>
  <c r="Y59" i="5" s="1"/>
  <c r="I44" i="5"/>
  <c r="I45" i="5" s="1"/>
  <c r="R91" i="5"/>
  <c r="R95" i="5" s="1"/>
  <c r="O31" i="5"/>
  <c r="O35" i="5" s="1"/>
  <c r="O68" i="5"/>
  <c r="O69" i="5" s="1"/>
  <c r="X104" i="5"/>
  <c r="X20" i="5"/>
  <c r="V56" i="5"/>
  <c r="S43" i="5"/>
  <c r="U44" i="5"/>
  <c r="O91" i="5"/>
  <c r="O95" i="5" s="1"/>
  <c r="AA92" i="5"/>
  <c r="X31" i="5"/>
  <c r="P32" i="5"/>
  <c r="AA31" i="5"/>
  <c r="AA33" i="5" s="1"/>
  <c r="X67" i="5"/>
  <c r="X69" i="5" s="1"/>
  <c r="L68" i="5"/>
  <c r="O104" i="5"/>
  <c r="O105" i="5" s="1"/>
  <c r="U103" i="5"/>
  <c r="U107" i="5" s="1"/>
  <c r="U80" i="5"/>
  <c r="U81" i="5" s="1"/>
  <c r="M80" i="5"/>
  <c r="I104" i="5"/>
  <c r="M43" i="5"/>
  <c r="F67" i="5"/>
  <c r="G91" i="5"/>
  <c r="P79" i="5"/>
  <c r="V19" i="5"/>
  <c r="V23" i="5" s="1"/>
  <c r="O43" i="5"/>
  <c r="O47" i="5" s="1"/>
  <c r="F19" i="5"/>
  <c r="G31" i="5"/>
  <c r="G35" i="5" s="1"/>
  <c r="R79" i="5"/>
  <c r="R83" i="5" s="1"/>
  <c r="G19" i="5"/>
  <c r="G23" i="5" s="1"/>
  <c r="I92" i="5"/>
  <c r="M104" i="5"/>
  <c r="M105" i="5" s="1"/>
  <c r="R55" i="5"/>
  <c r="R59" i="5" s="1"/>
  <c r="Y91" i="5"/>
  <c r="L103" i="5"/>
  <c r="G8" i="5"/>
  <c r="X103" i="5"/>
  <c r="AF18" i="5"/>
  <c r="O19" i="5"/>
  <c r="L55" i="5"/>
  <c r="L59" i="5" s="1"/>
  <c r="G43" i="5"/>
  <c r="V92" i="5"/>
  <c r="R92" i="5"/>
  <c r="F32" i="5"/>
  <c r="P68" i="5"/>
  <c r="I79" i="5"/>
  <c r="I83" i="5" s="1"/>
  <c r="AA20" i="5"/>
  <c r="G55" i="5"/>
  <c r="G59" i="5" s="1"/>
  <c r="L56" i="5"/>
  <c r="L57" i="5" s="1"/>
  <c r="O44" i="5"/>
  <c r="O45" i="5" s="1"/>
  <c r="AB43" i="5"/>
  <c r="AB47" i="5" s="1"/>
  <c r="AB91" i="5"/>
  <c r="AB95" i="5" s="1"/>
  <c r="P92" i="5"/>
  <c r="M31" i="5"/>
  <c r="V31" i="5"/>
  <c r="Y68" i="5"/>
  <c r="F68" i="5"/>
  <c r="F69" i="5" s="1"/>
  <c r="O67" i="5"/>
  <c r="G103" i="5"/>
  <c r="G107" i="5" s="1"/>
  <c r="J103" i="5"/>
  <c r="J107" i="5" s="1"/>
  <c r="I80" i="5"/>
  <c r="U79" i="5"/>
  <c r="U83" i="5" s="1"/>
  <c r="AA104" i="5"/>
  <c r="AA105" i="5" s="1"/>
  <c r="R56" i="5"/>
  <c r="Y79" i="5"/>
  <c r="Y83" i="5" s="1"/>
  <c r="B14" i="5"/>
  <c r="Y92" i="5"/>
  <c r="M103" i="5"/>
  <c r="J92" i="5"/>
  <c r="L80" i="5"/>
  <c r="V20" i="5"/>
  <c r="L31" i="5"/>
  <c r="L35" i="5" s="1"/>
  <c r="G20" i="5"/>
  <c r="S80" i="5"/>
  <c r="M55" i="5"/>
  <c r="AA44" i="5"/>
  <c r="U31" i="5"/>
  <c r="U33" i="5" s="1"/>
  <c r="L104" i="5"/>
  <c r="U55" i="5"/>
  <c r="U59" i="5" s="1"/>
  <c r="Y44" i="5"/>
  <c r="Y45" i="5" s="1"/>
  <c r="F92" i="5"/>
  <c r="I91" i="5"/>
  <c r="I95" i="5" s="1"/>
  <c r="Y32" i="5"/>
  <c r="Y33" i="5" s="1"/>
  <c r="L32" i="5"/>
  <c r="B62" i="5"/>
  <c r="G67" i="5"/>
  <c r="B98" i="5"/>
  <c r="I103" i="5"/>
  <c r="I107" i="5" s="1"/>
  <c r="S103" i="5"/>
  <c r="AA80" i="5"/>
  <c r="L79" i="5"/>
  <c r="R43" i="5"/>
  <c r="R47" i="5" s="1"/>
  <c r="U91" i="5"/>
  <c r="U95" i="5" s="1"/>
  <c r="Y31" i="5"/>
  <c r="Y35" i="5" s="1"/>
  <c r="J31" i="5"/>
  <c r="J35" i="5" s="1"/>
  <c r="R68" i="5"/>
  <c r="R69" i="5" s="1"/>
  <c r="J79" i="5"/>
  <c r="J83" i="5" s="1"/>
  <c r="AD18" i="5"/>
  <c r="V43" i="5"/>
  <c r="V45" i="5" s="1"/>
  <c r="P31" i="5"/>
  <c r="V79" i="5"/>
  <c r="I20" i="5"/>
  <c r="F44" i="5"/>
  <c r="AA103" i="5"/>
  <c r="AA107" i="5" s="1"/>
  <c r="O55" i="5"/>
  <c r="O59" i="5" s="1"/>
  <c r="M32" i="5"/>
  <c r="R67" i="5"/>
  <c r="Y80" i="5"/>
  <c r="U43" i="5"/>
  <c r="U47" i="5" s="1"/>
  <c r="Y104" i="5"/>
  <c r="Y105" i="5" s="1"/>
  <c r="AB55" i="5"/>
  <c r="AB59" i="5" s="1"/>
  <c r="L43" i="5"/>
  <c r="L47" i="5" s="1"/>
  <c r="M92" i="5"/>
  <c r="B26" i="5"/>
  <c r="P67" i="5"/>
  <c r="P71" i="5" s="1"/>
  <c r="P80" i="5"/>
  <c r="X56" i="5"/>
  <c r="U32" i="5"/>
  <c r="AA79" i="5"/>
  <c r="AD16" i="5"/>
  <c r="G44" i="5"/>
  <c r="AB19" i="5"/>
  <c r="AB23" i="5" s="1"/>
  <c r="F80" i="5"/>
  <c r="O20" i="5"/>
  <c r="O21" i="5" s="1"/>
  <c r="L19" i="5"/>
  <c r="L23" i="5" s="1"/>
  <c r="AA56" i="5"/>
  <c r="AA57" i="5" s="1"/>
  <c r="AD15" i="5"/>
  <c r="L20" i="5"/>
  <c r="P20" i="5"/>
  <c r="P21" i="5" s="1"/>
  <c r="F20" i="5"/>
  <c r="F21" i="5" s="1"/>
  <c r="S19" i="5"/>
  <c r="AF19" i="5" s="1"/>
  <c r="G56" i="5"/>
  <c r="S44" i="5"/>
  <c r="U20" i="5"/>
  <c r="AF15" i="5"/>
  <c r="R20" i="5"/>
  <c r="R21" i="5" s="1"/>
  <c r="I55" i="5"/>
  <c r="I59" i="5" s="1"/>
  <c r="AA55" i="5"/>
  <c r="AA59" i="5" s="1"/>
  <c r="X44" i="5"/>
  <c r="J44" i="5"/>
  <c r="V91" i="5"/>
  <c r="V95" i="5" s="1"/>
  <c r="AB92" i="5"/>
  <c r="AB93" i="5" s="1"/>
  <c r="AB32" i="5"/>
  <c r="AB31" i="5"/>
  <c r="AB35" i="5" s="1"/>
  <c r="J67" i="5"/>
  <c r="J71" i="5" s="1"/>
  <c r="V68" i="5"/>
  <c r="G104" i="5"/>
  <c r="G105" i="5" s="1"/>
  <c r="Y103" i="5"/>
  <c r="B74" i="5"/>
  <c r="X79" i="5"/>
  <c r="S79" i="5"/>
  <c r="AA19" i="5"/>
  <c r="AA23" i="5" s="1"/>
  <c r="I43" i="5"/>
  <c r="I47" i="5" s="1"/>
  <c r="O79" i="5"/>
  <c r="Y19" i="5"/>
  <c r="Y23" i="5" s="1"/>
  <c r="S91" i="5"/>
  <c r="S95" i="5" s="1"/>
  <c r="I32" i="5"/>
  <c r="I33" i="5" s="1"/>
  <c r="G79" i="5"/>
  <c r="F56" i="5"/>
  <c r="X43" i="5"/>
  <c r="X47" i="5" s="1"/>
  <c r="X91" i="5"/>
  <c r="X95" i="5" s="1"/>
  <c r="J32" i="5"/>
  <c r="J33" i="5" s="1"/>
  <c r="O32" i="5"/>
  <c r="M68" i="5"/>
  <c r="AB104" i="5"/>
  <c r="Y56" i="5"/>
  <c r="R32" i="5"/>
  <c r="AA67" i="5"/>
  <c r="AA71" i="5" s="1"/>
  <c r="X19" i="5"/>
  <c r="X23" i="5" s="1"/>
  <c r="P103" i="5"/>
  <c r="P43" i="5"/>
  <c r="P47" i="5" s="1"/>
  <c r="V67" i="5"/>
  <c r="AF17" i="5"/>
  <c r="J43" i="5"/>
  <c r="J47" i="5" s="1"/>
  <c r="S32" i="5"/>
  <c r="AB103" i="5"/>
  <c r="AB105" i="5" s="1"/>
  <c r="O56" i="5"/>
  <c r="O57" i="5" s="1"/>
  <c r="L91" i="5"/>
  <c r="L95" i="5" s="1"/>
  <c r="S31" i="5"/>
  <c r="S33" i="5" s="1"/>
  <c r="U67" i="5"/>
  <c r="U104" i="5"/>
  <c r="O80" i="5"/>
  <c r="J20" i="5"/>
  <c r="AB20" i="5"/>
  <c r="S56" i="5"/>
  <c r="AB56" i="5"/>
  <c r="B2" i="5"/>
  <c r="AA43" i="5"/>
  <c r="AA47" i="5" s="1"/>
  <c r="B38" i="5"/>
  <c r="L92" i="5"/>
  <c r="M91" i="5"/>
  <c r="F31" i="5"/>
  <c r="F33" i="5" s="1"/>
  <c r="G32" i="5"/>
  <c r="G33" i="5" s="1"/>
  <c r="Y67" i="5"/>
  <c r="Y69" i="5" s="1"/>
  <c r="I68" i="5"/>
  <c r="I69" i="5" s="1"/>
  <c r="F104" i="5"/>
  <c r="V104" i="5"/>
  <c r="V80" i="5"/>
  <c r="R80" i="5"/>
  <c r="AD17" i="5"/>
  <c r="X55" i="5"/>
  <c r="X59" i="5" s="1"/>
  <c r="Y43" i="5"/>
  <c r="Y47" i="5" s="1"/>
  <c r="S92" i="5"/>
  <c r="V32" i="5"/>
  <c r="V33" i="5" s="1"/>
  <c r="AB68" i="5"/>
  <c r="AB69" i="5" s="1"/>
  <c r="J104" i="5"/>
  <c r="J105" i="5" s="1"/>
  <c r="M79" i="5"/>
  <c r="M83" i="5" s="1"/>
  <c r="G83" i="5"/>
  <c r="G81" i="5"/>
  <c r="M21" i="5"/>
  <c r="M23" i="5"/>
  <c r="AB71" i="5"/>
  <c r="O107" i="5"/>
  <c r="M71" i="5"/>
  <c r="M69" i="5"/>
  <c r="AA83" i="5"/>
  <c r="M47" i="5"/>
  <c r="P83" i="5"/>
  <c r="U71" i="5"/>
  <c r="X105" i="5"/>
  <c r="X107" i="5"/>
  <c r="M59" i="5"/>
  <c r="M57" i="5"/>
  <c r="F47" i="5"/>
  <c r="S71" i="5"/>
  <c r="S69" i="5"/>
  <c r="I35" i="5"/>
  <c r="F107" i="5"/>
  <c r="F105" i="5"/>
  <c r="R23" i="5"/>
  <c r="V81" i="5"/>
  <c r="V83" i="5"/>
  <c r="M107" i="5"/>
  <c r="U23" i="5"/>
  <c r="U21" i="5"/>
  <c r="P57" i="5"/>
  <c r="P59" i="5"/>
  <c r="P95" i="5"/>
  <c r="P93" i="5"/>
  <c r="G11" i="5"/>
  <c r="O23" i="5"/>
  <c r="P45" i="5"/>
  <c r="S47" i="5"/>
  <c r="S45" i="5"/>
  <c r="X35" i="5"/>
  <c r="J21" i="5"/>
  <c r="P35" i="5"/>
  <c r="P33" i="5"/>
  <c r="G95" i="5"/>
  <c r="G93" i="5"/>
  <c r="M35" i="5"/>
  <c r="M33" i="5"/>
  <c r="V35" i="5"/>
  <c r="O71" i="5"/>
  <c r="R107" i="5"/>
  <c r="V59" i="5"/>
  <c r="V57" i="5"/>
  <c r="P23" i="5"/>
  <c r="G69" i="5"/>
  <c r="G71" i="5"/>
  <c r="I105" i="5"/>
  <c r="S107" i="5"/>
  <c r="L83" i="5"/>
  <c r="L81" i="5"/>
  <c r="F71" i="5"/>
  <c r="R71" i="5"/>
  <c r="F23" i="5"/>
  <c r="I21" i="5"/>
  <c r="Y107" i="5"/>
  <c r="X83" i="5"/>
  <c r="S81" i="5"/>
  <c r="S83" i="5"/>
  <c r="AA21" i="5" l="1"/>
  <c r="J59" i="5"/>
  <c r="X71" i="5"/>
  <c r="AA35" i="5"/>
  <c r="F45" i="5"/>
  <c r="O81" i="5"/>
  <c r="P81" i="5"/>
  <c r="AA69" i="5"/>
  <c r="L33" i="5"/>
  <c r="O93" i="5"/>
  <c r="S93" i="5"/>
  <c r="G45" i="5"/>
  <c r="G47" i="5"/>
  <c r="AA93" i="5"/>
  <c r="U45" i="5"/>
  <c r="I57" i="5"/>
  <c r="X57" i="5"/>
  <c r="X21" i="5"/>
  <c r="V21" i="5"/>
  <c r="AA45" i="5"/>
  <c r="S21" i="5"/>
  <c r="AB57" i="5"/>
  <c r="AB81" i="5"/>
  <c r="AA81" i="5"/>
  <c r="L45" i="5"/>
  <c r="U93" i="5"/>
  <c r="M93" i="5"/>
  <c r="Y93" i="5"/>
  <c r="F93" i="5"/>
  <c r="L105" i="5"/>
  <c r="AC105" i="5" s="1"/>
  <c r="R93" i="5"/>
  <c r="P105" i="5"/>
  <c r="AB33" i="5"/>
  <c r="Y57" i="5"/>
  <c r="U35" i="5"/>
  <c r="F57" i="5"/>
  <c r="F95" i="5"/>
  <c r="V47" i="5"/>
  <c r="AD19" i="5"/>
  <c r="AB21" i="5"/>
  <c r="S23" i="5"/>
  <c r="J93" i="5"/>
  <c r="V93" i="5"/>
  <c r="L21" i="5"/>
  <c r="F35" i="5"/>
  <c r="M95" i="5"/>
  <c r="F81" i="5"/>
  <c r="Y21" i="5"/>
  <c r="J45" i="5"/>
  <c r="V69" i="5"/>
  <c r="R57" i="5"/>
  <c r="O83" i="5"/>
  <c r="Y95" i="5"/>
  <c r="X45" i="5"/>
  <c r="G57" i="5"/>
  <c r="R33" i="5"/>
  <c r="AC33" i="5" s="1"/>
  <c r="L69" i="5"/>
  <c r="S57" i="5"/>
  <c r="J81" i="5"/>
  <c r="U57" i="5"/>
  <c r="I81" i="5"/>
  <c r="Y71" i="5"/>
  <c r="R81" i="5"/>
  <c r="AB45" i="5"/>
  <c r="O33" i="5"/>
  <c r="AB107" i="5"/>
  <c r="S35" i="5"/>
  <c r="L107" i="5"/>
  <c r="L93" i="5"/>
  <c r="P107" i="5"/>
  <c r="I93" i="5"/>
  <c r="U105" i="5"/>
  <c r="V71" i="5"/>
  <c r="X93" i="5"/>
  <c r="Y81" i="5"/>
  <c r="J69" i="5"/>
  <c r="AC69" i="5" s="1"/>
  <c r="V107" i="5"/>
  <c r="M81" i="5"/>
  <c r="R45" i="5"/>
  <c r="G21" i="5"/>
  <c r="P69" i="5"/>
  <c r="AC93" i="5" l="1"/>
  <c r="AC45" i="5"/>
  <c r="AC81" i="5"/>
  <c r="AC57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<sst xmlns="http://schemas.openxmlformats.org/spreadsheetml/2006/main" count="1409" uniqueCount="55">
  <si>
    <t>-&gt;</t>
  </si>
  <si>
    <t>E91</t>
  </si>
  <si>
    <t>E92</t>
  </si>
  <si>
    <t>E1</t>
  </si>
  <si>
    <t>I1</t>
  </si>
  <si>
    <t>e</t>
  </si>
  <si>
    <t>E0</t>
  </si>
  <si>
    <t>Terra</t>
  </si>
  <si>
    <t>E2</t>
  </si>
  <si>
    <t>E3</t>
  </si>
  <si>
    <t>E4</t>
  </si>
  <si>
    <t>E5</t>
  </si>
  <si>
    <t>E6</t>
  </si>
  <si>
    <t>E7</t>
  </si>
  <si>
    <t>CORRENTE</t>
  </si>
  <si>
    <t>E1 conectado ao I1 e E0 conectado ao terra</t>
  </si>
  <si>
    <t>E2 conectado ao I1 e E1 conectado ao terra</t>
  </si>
  <si>
    <t>E3 conectado ao I1 e E2 conectado ao terra</t>
  </si>
  <si>
    <t>E4 conectado ao I1 e E3 conectado ao terra</t>
  </si>
  <si>
    <t>E5 conectado ao I1 e E4 conectado ao terra</t>
  </si>
  <si>
    <t>E6 conectado ao I1 e E5 conectado ao terra</t>
  </si>
  <si>
    <t>E7 conectado ao I1 e E6 conectado ao terra</t>
  </si>
  <si>
    <t>E0 conectado ao I1 e E7 conectado ao terra</t>
  </si>
  <si>
    <t>Média</t>
  </si>
  <si>
    <t>Valor simulado</t>
  </si>
  <si>
    <t>STD</t>
  </si>
  <si>
    <t>SNR (dB)</t>
  </si>
  <si>
    <t>E2 E4 E6</t>
  </si>
  <si>
    <t>E3 E5 E7</t>
  </si>
  <si>
    <t>DP</t>
  </si>
  <si>
    <t>Acurácia</t>
  </si>
  <si>
    <t>TERRA</t>
  </si>
  <si>
    <t>FREQ 1</t>
  </si>
  <si>
    <t>FREQ 2</t>
  </si>
  <si>
    <t>INJECAO CORRENTE</t>
  </si>
  <si>
    <t>ELETRODOS PARES</t>
  </si>
  <si>
    <t>ELETRODOS IMPARES</t>
  </si>
  <si>
    <t>E1-I</t>
  </si>
  <si>
    <t>E2-I</t>
  </si>
  <si>
    <t>E3-I</t>
  </si>
  <si>
    <t>E4-I</t>
  </si>
  <si>
    <t>E5-I</t>
  </si>
  <si>
    <t>E6-I</t>
  </si>
  <si>
    <t>E7-I</t>
  </si>
  <si>
    <t>E0-I</t>
  </si>
  <si>
    <t>Eletrodo de injeção</t>
  </si>
  <si>
    <t>Eletrodo de medição</t>
  </si>
  <si>
    <t>FREQ1</t>
  </si>
  <si>
    <t>FREQ2</t>
  </si>
  <si>
    <t>Eletrodos de medição</t>
  </si>
  <si>
    <t>Eletrodos pares</t>
  </si>
  <si>
    <t>Eletrodos ímpares</t>
  </si>
  <si>
    <t>Eletrodos de injeção</t>
  </si>
  <si>
    <t>E8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</si>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</sst>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E+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2" fontId="0" fillId="0" borderId="0" xfId="0" applyNumberFormat="1"/>
    <xf numFmtId="164" fontId="0" fillId="0" borderId="0" xfId="0" applyNumberFormat="1"/>
    <xf numFmtId="0" fontId="0" fillId="0" borderId="0" xfId="0" applyNumberFormat="1"/>
    <xf numFmtId="11" fontId="0" fillId="0" borderId="0" xfId="0" applyNumberFormat="1"/>
    <xf numFmtId="9" fontId="0" fillId="0" borderId="0" xfId="1" applyFont="1"/>
    <xf numFmtId="164" fontId="0" fillId="3" borderId="0" xfId="0" applyNumberFormat="1" applyFill="1"/>
    <xf numFmtId="0" fontId="0" fillId="3" borderId="0" xfId="0" applyNumberFormat="1" applyFill="1"/>
    <xf numFmtId="1" fontId="0" fillId="0" borderId="0" xfId="0" applyNumberFormat="1"/>
    <xf numFmtId="165" fontId="0" fillId="0" borderId="0" xfId="0" applyNumberFormat="1"/>
    <xf numFmtId="2" fontId="0" fillId="0" borderId="0" xfId="0" applyNumberFormat="1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/>
    <xf numFmtId="9" fontId="0" fillId="0" borderId="0" xfId="0" applyNumberFormat="1"/>
    <xf numFmtId="10" fontId="0" fillId="0" borderId="0" xfId="0" applyNumberFormat="1"/>
    <xf numFmtId="2" fontId="0" fillId="4" borderId="0" xfId="0" applyNumberFormat="1" applyFill="1"/>
    <xf numFmtId="2" fontId="0" fillId="5" borderId="0" xfId="0" applyNumberForma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0</xdr:row>
      <xdr:rowOff>142875</xdr:rowOff>
    </xdr:from>
    <xdr:to>
      <xdr:col>12</xdr:col>
      <xdr:colOff>505863</xdr:colOff>
      <xdr:row>33</xdr:row>
      <xdr:rowOff>162805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F0D79B-8D1B-2774-D872-023B77DC3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" y="142875"/>
          <a:ext cx="7440063" cy="63064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B1149-9472-4944-AED6-EBD1F29C0001}">
  <dimension ref="A2:AB118"/>
  <sheetViews>
    <sheetView workbookViewId="0">
      <selection activeCell="A2" sqref="A2:AB19"/>
    </sheetView>
  </sheetViews>
  <sheetFormatPr defaultRowHeight="15" x14ac:dyDescent="0.25"/>
  <cols>
    <col min="1" max="1" width="9.140625" style="8"/>
  </cols>
  <sheetData>
    <row r="2" spans="1:28" x14ac:dyDescent="0.25">
      <c r="A2" s="8">
        <v>1</v>
      </c>
      <c r="B2" t="s">
        <v>0</v>
      </c>
      <c r="D2" t="s">
        <v>1</v>
      </c>
      <c r="E2">
        <v>1.5264</v>
      </c>
      <c r="F2">
        <v>1.0866</v>
      </c>
      <c r="G2" t="s">
        <v>2</v>
      </c>
      <c r="H2">
        <v>0</v>
      </c>
      <c r="I2">
        <v>0</v>
      </c>
    </row>
    <row r="3" spans="1:28" x14ac:dyDescent="0.25">
      <c r="A3" s="8">
        <f>A2+1</f>
        <v>2</v>
      </c>
      <c r="B3" t="s">
        <v>0</v>
      </c>
      <c r="D3" t="s">
        <v>3</v>
      </c>
      <c r="E3" t="s">
        <v>4</v>
      </c>
      <c r="F3" t="s">
        <v>5</v>
      </c>
      <c r="G3" t="s">
        <v>6</v>
      </c>
      <c r="H3" t="s">
        <v>7</v>
      </c>
    </row>
    <row r="4" spans="1:28" x14ac:dyDescent="0.25">
      <c r="A4" s="8">
        <f t="shared" ref="A4:A67" si="0">A3+1</f>
        <v>3</v>
      </c>
      <c r="B4" t="s">
        <v>0</v>
      </c>
      <c r="D4" t="s">
        <v>6</v>
      </c>
      <c r="E4">
        <v>0.1079</v>
      </c>
      <c r="F4">
        <v>9.8400000000000001E-2</v>
      </c>
      <c r="G4" t="s">
        <v>3</v>
      </c>
      <c r="H4">
        <v>1.0379</v>
      </c>
      <c r="I4">
        <v>0.80640000000000001</v>
      </c>
      <c r="J4" t="s">
        <v>8</v>
      </c>
      <c r="K4">
        <v>0.28120000000000001</v>
      </c>
      <c r="L4">
        <v>0.247</v>
      </c>
      <c r="M4" t="s">
        <v>9</v>
      </c>
      <c r="N4">
        <v>0.79710000000000003</v>
      </c>
      <c r="O4">
        <v>0.5988</v>
      </c>
      <c r="P4" t="s">
        <v>10</v>
      </c>
      <c r="Q4">
        <v>0.28389999999999999</v>
      </c>
      <c r="R4">
        <v>0.2535</v>
      </c>
      <c r="S4" t="s">
        <v>11</v>
      </c>
      <c r="T4">
        <v>0.79330000000000001</v>
      </c>
      <c r="U4">
        <v>0.59589999999999999</v>
      </c>
      <c r="V4" t="s">
        <v>12</v>
      </c>
      <c r="W4">
        <v>0.28370000000000001</v>
      </c>
      <c r="X4">
        <v>0.24379999999999999</v>
      </c>
      <c r="Y4" t="s">
        <v>13</v>
      </c>
      <c r="Z4">
        <v>0.79220000000000002</v>
      </c>
      <c r="AA4">
        <v>0.59540000000000004</v>
      </c>
      <c r="AB4">
        <v>0.7</v>
      </c>
    </row>
    <row r="5" spans="1:28" x14ac:dyDescent="0.25">
      <c r="A5" s="8">
        <f t="shared" si="0"/>
        <v>4</v>
      </c>
      <c r="B5" t="s">
        <v>0</v>
      </c>
      <c r="D5" t="s">
        <v>8</v>
      </c>
      <c r="E5" t="s">
        <v>4</v>
      </c>
      <c r="F5" t="s">
        <v>5</v>
      </c>
      <c r="G5" t="s">
        <v>3</v>
      </c>
      <c r="H5" t="s">
        <v>7</v>
      </c>
    </row>
    <row r="6" spans="1:28" x14ac:dyDescent="0.25">
      <c r="A6" s="8">
        <f t="shared" si="0"/>
        <v>5</v>
      </c>
      <c r="B6" t="s">
        <v>0</v>
      </c>
      <c r="D6" t="s">
        <v>6</v>
      </c>
      <c r="E6">
        <v>0.879</v>
      </c>
      <c r="F6">
        <v>0.65620000000000001</v>
      </c>
      <c r="G6" t="s">
        <v>3</v>
      </c>
      <c r="H6">
        <v>0.10829999999999999</v>
      </c>
      <c r="I6">
        <v>9.4899999999999998E-2</v>
      </c>
      <c r="J6" t="s">
        <v>8</v>
      </c>
      <c r="K6">
        <v>0.94989999999999997</v>
      </c>
      <c r="L6">
        <v>0.72130000000000005</v>
      </c>
      <c r="M6" t="s">
        <v>9</v>
      </c>
      <c r="N6">
        <v>0.36840000000000001</v>
      </c>
      <c r="O6">
        <v>0.3206</v>
      </c>
      <c r="P6" t="s">
        <v>10</v>
      </c>
      <c r="Q6">
        <v>0.88449999999999995</v>
      </c>
      <c r="R6">
        <v>0.65920000000000001</v>
      </c>
      <c r="S6" t="s">
        <v>11</v>
      </c>
      <c r="T6">
        <v>0.36990000000000001</v>
      </c>
      <c r="U6">
        <v>0.32740000000000002</v>
      </c>
      <c r="V6" t="s">
        <v>12</v>
      </c>
      <c r="W6">
        <v>0.87360000000000004</v>
      </c>
      <c r="X6">
        <v>0.63560000000000005</v>
      </c>
      <c r="Y6" t="s">
        <v>13</v>
      </c>
      <c r="Z6">
        <v>0.372</v>
      </c>
      <c r="AA6">
        <v>0.32629999999999998</v>
      </c>
      <c r="AB6">
        <v>0.34489999999999998</v>
      </c>
    </row>
    <row r="7" spans="1:28" x14ac:dyDescent="0.25">
      <c r="A7" s="8">
        <f t="shared" si="0"/>
        <v>6</v>
      </c>
      <c r="B7" t="s">
        <v>0</v>
      </c>
      <c r="D7" t="s">
        <v>9</v>
      </c>
      <c r="E7" t="s">
        <v>4</v>
      </c>
      <c r="F7" t="s">
        <v>5</v>
      </c>
      <c r="G7" t="s">
        <v>8</v>
      </c>
      <c r="H7" t="s">
        <v>7</v>
      </c>
    </row>
    <row r="8" spans="1:28" x14ac:dyDescent="0.25">
      <c r="A8" s="8">
        <f t="shared" si="0"/>
        <v>7</v>
      </c>
      <c r="B8" t="s">
        <v>0</v>
      </c>
      <c r="D8" t="s">
        <v>6</v>
      </c>
      <c r="E8">
        <v>0.182</v>
      </c>
      <c r="F8">
        <v>0.1653</v>
      </c>
      <c r="G8" t="s">
        <v>3</v>
      </c>
      <c r="H8">
        <v>0.69940000000000002</v>
      </c>
      <c r="I8">
        <v>0.53049999999999997</v>
      </c>
      <c r="J8" t="s">
        <v>8</v>
      </c>
      <c r="K8">
        <v>0.1101</v>
      </c>
      <c r="L8">
        <v>9.8199999999999996E-2</v>
      </c>
      <c r="M8" t="s">
        <v>9</v>
      </c>
      <c r="N8">
        <v>0.81850000000000001</v>
      </c>
      <c r="O8">
        <v>0.63570000000000004</v>
      </c>
      <c r="P8" t="s">
        <v>10</v>
      </c>
      <c r="Q8">
        <v>0.18579999999999999</v>
      </c>
      <c r="R8">
        <v>0.17269999999999999</v>
      </c>
      <c r="S8" t="s">
        <v>11</v>
      </c>
      <c r="T8">
        <v>0.69510000000000005</v>
      </c>
      <c r="U8">
        <v>0.52700000000000002</v>
      </c>
      <c r="V8" t="s">
        <v>12</v>
      </c>
      <c r="W8">
        <v>0.18740000000000001</v>
      </c>
      <c r="X8">
        <v>0.16289999999999999</v>
      </c>
      <c r="Y8" t="s">
        <v>13</v>
      </c>
      <c r="Z8">
        <v>0.69589999999999996</v>
      </c>
      <c r="AA8">
        <v>0.52080000000000004</v>
      </c>
      <c r="AB8">
        <v>0.62870000000000004</v>
      </c>
    </row>
    <row r="9" spans="1:28" x14ac:dyDescent="0.25">
      <c r="A9" s="8">
        <f t="shared" si="0"/>
        <v>8</v>
      </c>
      <c r="B9" t="s">
        <v>0</v>
      </c>
      <c r="D9" t="s">
        <v>10</v>
      </c>
      <c r="E9" t="s">
        <v>4</v>
      </c>
      <c r="F9" t="s">
        <v>5</v>
      </c>
      <c r="G9" t="s">
        <v>9</v>
      </c>
      <c r="H9" t="s">
        <v>7</v>
      </c>
    </row>
    <row r="10" spans="1:28" x14ac:dyDescent="0.25">
      <c r="A10" s="8">
        <f t="shared" si="0"/>
        <v>9</v>
      </c>
      <c r="B10" t="s">
        <v>0</v>
      </c>
      <c r="D10" t="s">
        <v>6</v>
      </c>
      <c r="E10">
        <v>0.753</v>
      </c>
      <c r="F10">
        <v>0.57630000000000003</v>
      </c>
      <c r="G10" t="s">
        <v>3</v>
      </c>
      <c r="H10">
        <v>0.23369999999999999</v>
      </c>
      <c r="I10">
        <v>0.2024</v>
      </c>
      <c r="J10" t="s">
        <v>8</v>
      </c>
      <c r="K10">
        <v>0.74119999999999997</v>
      </c>
      <c r="L10">
        <v>0.55079999999999996</v>
      </c>
      <c r="M10" t="s">
        <v>9</v>
      </c>
      <c r="N10">
        <v>0.1047</v>
      </c>
      <c r="O10">
        <v>9.0999999999999998E-2</v>
      </c>
      <c r="P10" t="s">
        <v>10</v>
      </c>
      <c r="Q10">
        <v>0.88229999999999997</v>
      </c>
      <c r="R10">
        <v>0.67190000000000005</v>
      </c>
      <c r="S10" t="s">
        <v>11</v>
      </c>
      <c r="T10">
        <v>0.23319999999999999</v>
      </c>
      <c r="U10">
        <v>0.20610000000000001</v>
      </c>
      <c r="V10" t="s">
        <v>12</v>
      </c>
      <c r="W10">
        <v>0.74209999999999998</v>
      </c>
      <c r="X10">
        <v>0.55159999999999998</v>
      </c>
      <c r="Y10" t="s">
        <v>13</v>
      </c>
      <c r="Z10">
        <v>0.2316</v>
      </c>
      <c r="AA10">
        <v>0.2185</v>
      </c>
      <c r="AB10">
        <v>0.2172</v>
      </c>
    </row>
    <row r="11" spans="1:28" x14ac:dyDescent="0.25">
      <c r="A11" s="8">
        <f t="shared" si="0"/>
        <v>10</v>
      </c>
      <c r="B11" t="s">
        <v>0</v>
      </c>
      <c r="D11" t="s">
        <v>11</v>
      </c>
      <c r="E11" t="s">
        <v>4</v>
      </c>
      <c r="F11" t="s">
        <v>5</v>
      </c>
      <c r="G11" t="s">
        <v>10</v>
      </c>
      <c r="H11" t="s">
        <v>7</v>
      </c>
    </row>
    <row r="12" spans="1:28" x14ac:dyDescent="0.25">
      <c r="A12" s="8">
        <f t="shared" si="0"/>
        <v>11</v>
      </c>
      <c r="B12" t="s">
        <v>0</v>
      </c>
      <c r="D12" t="s">
        <v>6</v>
      </c>
      <c r="E12">
        <v>0.2442</v>
      </c>
      <c r="F12">
        <v>0.22040000000000001</v>
      </c>
      <c r="G12" t="s">
        <v>3</v>
      </c>
      <c r="H12">
        <v>0.74909999999999999</v>
      </c>
      <c r="I12">
        <v>0.57679999999999998</v>
      </c>
      <c r="J12" t="s">
        <v>8</v>
      </c>
      <c r="K12">
        <v>0.24360000000000001</v>
      </c>
      <c r="L12">
        <v>0.21390000000000001</v>
      </c>
      <c r="M12" t="s">
        <v>9</v>
      </c>
      <c r="N12">
        <v>0.75890000000000002</v>
      </c>
      <c r="O12">
        <v>0.57010000000000005</v>
      </c>
      <c r="P12" t="s">
        <v>10</v>
      </c>
      <c r="Q12">
        <v>0.1076</v>
      </c>
      <c r="R12">
        <v>9.4299999999999995E-2</v>
      </c>
      <c r="S12" t="s">
        <v>11</v>
      </c>
      <c r="T12">
        <v>0.9839</v>
      </c>
      <c r="U12">
        <v>0.76570000000000005</v>
      </c>
      <c r="V12" t="s">
        <v>12</v>
      </c>
      <c r="W12">
        <v>0.24510000000000001</v>
      </c>
      <c r="X12">
        <v>0.22020000000000001</v>
      </c>
      <c r="Y12" t="s">
        <v>13</v>
      </c>
      <c r="Z12">
        <v>0.75649999999999995</v>
      </c>
      <c r="AA12">
        <v>0.56689999999999996</v>
      </c>
      <c r="AB12">
        <v>0.67869999999999997</v>
      </c>
    </row>
    <row r="13" spans="1:28" x14ac:dyDescent="0.25">
      <c r="A13" s="8">
        <f t="shared" si="0"/>
        <v>12</v>
      </c>
      <c r="B13" t="s">
        <v>0</v>
      </c>
      <c r="D13" t="s">
        <v>12</v>
      </c>
      <c r="E13" t="s">
        <v>4</v>
      </c>
      <c r="F13" t="s">
        <v>5</v>
      </c>
      <c r="G13" t="s">
        <v>11</v>
      </c>
      <c r="H13" t="s">
        <v>7</v>
      </c>
    </row>
    <row r="14" spans="1:28" x14ac:dyDescent="0.25">
      <c r="A14" s="8">
        <f t="shared" si="0"/>
        <v>13</v>
      </c>
      <c r="B14" t="s">
        <v>0</v>
      </c>
      <c r="D14" t="s">
        <v>6</v>
      </c>
      <c r="E14">
        <v>0.85670000000000002</v>
      </c>
      <c r="F14">
        <v>0.64359999999999995</v>
      </c>
      <c r="G14" t="s">
        <v>3</v>
      </c>
      <c r="H14">
        <v>0.34499999999999997</v>
      </c>
      <c r="I14">
        <v>0.30430000000000001</v>
      </c>
      <c r="J14" t="s">
        <v>8</v>
      </c>
      <c r="K14">
        <v>0.85489999999999999</v>
      </c>
      <c r="L14">
        <v>0.64139999999999997</v>
      </c>
      <c r="M14" t="s">
        <v>9</v>
      </c>
      <c r="N14">
        <v>0.34620000000000001</v>
      </c>
      <c r="O14">
        <v>0.30359999999999998</v>
      </c>
      <c r="P14" t="s">
        <v>10</v>
      </c>
      <c r="Q14">
        <v>0.85640000000000005</v>
      </c>
      <c r="R14">
        <v>0.64329999999999998</v>
      </c>
      <c r="S14" t="s">
        <v>11</v>
      </c>
      <c r="T14">
        <v>0.1042</v>
      </c>
      <c r="U14">
        <v>9.01E-2</v>
      </c>
      <c r="V14" t="s">
        <v>12</v>
      </c>
      <c r="W14">
        <v>0.91559999999999997</v>
      </c>
      <c r="X14">
        <v>0.69369999999999998</v>
      </c>
      <c r="Y14" t="s">
        <v>13</v>
      </c>
      <c r="Z14">
        <v>0.3458</v>
      </c>
      <c r="AA14">
        <v>0.31219999999999998</v>
      </c>
      <c r="AB14">
        <v>0.32219999999999999</v>
      </c>
    </row>
    <row r="15" spans="1:28" x14ac:dyDescent="0.25">
      <c r="A15" s="8">
        <f t="shared" si="0"/>
        <v>14</v>
      </c>
      <c r="B15" t="s">
        <v>0</v>
      </c>
      <c r="D15" t="s">
        <v>13</v>
      </c>
      <c r="E15" t="s">
        <v>4</v>
      </c>
      <c r="F15" t="s">
        <v>5</v>
      </c>
      <c r="G15" t="s">
        <v>12</v>
      </c>
      <c r="H15" t="s">
        <v>7</v>
      </c>
    </row>
    <row r="16" spans="1:28" x14ac:dyDescent="0.25">
      <c r="A16" s="8">
        <f t="shared" si="0"/>
        <v>15</v>
      </c>
      <c r="B16" t="s">
        <v>0</v>
      </c>
      <c r="D16" t="s">
        <v>6</v>
      </c>
      <c r="E16">
        <v>0.17130000000000001</v>
      </c>
      <c r="F16">
        <v>0.1623</v>
      </c>
      <c r="G16" t="s">
        <v>3</v>
      </c>
      <c r="H16">
        <v>0.68200000000000005</v>
      </c>
      <c r="I16">
        <v>0.50439999999999996</v>
      </c>
      <c r="J16" t="s">
        <v>8</v>
      </c>
      <c r="K16">
        <v>0.16789999999999999</v>
      </c>
      <c r="L16">
        <v>0.14979999999999999</v>
      </c>
      <c r="M16" t="s">
        <v>9</v>
      </c>
      <c r="N16">
        <v>0.68230000000000002</v>
      </c>
      <c r="O16">
        <v>0.50639999999999996</v>
      </c>
      <c r="P16" t="s">
        <v>10</v>
      </c>
      <c r="Q16">
        <v>0.16969999999999999</v>
      </c>
      <c r="R16">
        <v>0.15260000000000001</v>
      </c>
      <c r="S16" t="s">
        <v>11</v>
      </c>
      <c r="T16">
        <v>0.67969999999999997</v>
      </c>
      <c r="U16">
        <v>0.50160000000000005</v>
      </c>
      <c r="V16" t="s">
        <v>12</v>
      </c>
      <c r="W16">
        <v>0.1055</v>
      </c>
      <c r="X16">
        <v>9.3200000000000005E-2</v>
      </c>
      <c r="Y16" t="s">
        <v>13</v>
      </c>
      <c r="Z16">
        <v>1.018</v>
      </c>
      <c r="AA16">
        <v>0.79020000000000001</v>
      </c>
      <c r="AB16">
        <v>0.86739999999999995</v>
      </c>
    </row>
    <row r="17" spans="1:28" x14ac:dyDescent="0.25">
      <c r="A17" s="8">
        <f t="shared" si="0"/>
        <v>16</v>
      </c>
      <c r="B17" t="s">
        <v>0</v>
      </c>
      <c r="D17" t="s">
        <v>6</v>
      </c>
      <c r="E17" t="s">
        <v>4</v>
      </c>
      <c r="F17" t="s">
        <v>5</v>
      </c>
      <c r="G17" t="s">
        <v>13</v>
      </c>
      <c r="H17" t="s">
        <v>7</v>
      </c>
    </row>
    <row r="18" spans="1:28" x14ac:dyDescent="0.25">
      <c r="A18" s="8">
        <f t="shared" si="0"/>
        <v>17</v>
      </c>
      <c r="B18" t="s">
        <v>0</v>
      </c>
      <c r="D18" t="s">
        <v>6</v>
      </c>
      <c r="E18">
        <v>1.0813999999999999</v>
      </c>
      <c r="F18">
        <v>0.79559999999999997</v>
      </c>
      <c r="G18" t="s">
        <v>3</v>
      </c>
      <c r="H18">
        <v>0.45040000000000002</v>
      </c>
      <c r="I18">
        <v>0.37459999999999999</v>
      </c>
      <c r="J18" t="s">
        <v>8</v>
      </c>
      <c r="K18">
        <v>0.94189999999999996</v>
      </c>
      <c r="L18">
        <v>0.69820000000000004</v>
      </c>
      <c r="M18" t="s">
        <v>9</v>
      </c>
      <c r="N18">
        <v>0.45179999999999998</v>
      </c>
      <c r="O18">
        <v>0.39300000000000002</v>
      </c>
      <c r="P18" t="s">
        <v>10</v>
      </c>
      <c r="Q18">
        <v>0.9466</v>
      </c>
      <c r="R18">
        <v>0.71779999999999999</v>
      </c>
      <c r="S18" t="s">
        <v>11</v>
      </c>
      <c r="T18">
        <v>0.44869999999999999</v>
      </c>
      <c r="U18">
        <v>0.38740000000000002</v>
      </c>
      <c r="V18" t="s">
        <v>12</v>
      </c>
      <c r="W18">
        <v>0.95109999999999995</v>
      </c>
      <c r="X18">
        <v>0.7056</v>
      </c>
      <c r="Y18" t="s">
        <v>13</v>
      </c>
      <c r="Z18">
        <v>0.105</v>
      </c>
      <c r="AA18">
        <v>9.1999999999999998E-2</v>
      </c>
      <c r="AB18">
        <v>9.5299999999999996E-2</v>
      </c>
    </row>
    <row r="19" spans="1:28" x14ac:dyDescent="0.25">
      <c r="A19" s="8">
        <f t="shared" si="0"/>
        <v>18</v>
      </c>
    </row>
    <row r="20" spans="1:28" x14ac:dyDescent="0.25">
      <c r="A20" s="8">
        <f t="shared" si="0"/>
        <v>19</v>
      </c>
    </row>
    <row r="21" spans="1:28" x14ac:dyDescent="0.25">
      <c r="A21" s="8">
        <f t="shared" si="0"/>
        <v>20</v>
      </c>
    </row>
    <row r="22" spans="1:28" x14ac:dyDescent="0.25">
      <c r="A22" s="8">
        <f t="shared" si="0"/>
        <v>21</v>
      </c>
      <c r="B22" t="s">
        <v>0</v>
      </c>
      <c r="D22" t="s">
        <v>1</v>
      </c>
      <c r="E22">
        <v>1.5277000000000001</v>
      </c>
      <c r="F22">
        <v>1.0573999999999999</v>
      </c>
      <c r="G22" t="s">
        <v>2</v>
      </c>
      <c r="H22">
        <v>0</v>
      </c>
      <c r="I22">
        <v>0</v>
      </c>
    </row>
    <row r="23" spans="1:28" x14ac:dyDescent="0.25">
      <c r="A23" s="8">
        <f t="shared" si="0"/>
        <v>22</v>
      </c>
      <c r="B23" t="s">
        <v>0</v>
      </c>
      <c r="D23" t="s">
        <v>3</v>
      </c>
      <c r="E23" t="s">
        <v>4</v>
      </c>
      <c r="F23" t="s">
        <v>5</v>
      </c>
      <c r="G23" t="s">
        <v>6</v>
      </c>
      <c r="H23" t="s">
        <v>7</v>
      </c>
    </row>
    <row r="24" spans="1:28" x14ac:dyDescent="0.25">
      <c r="A24" s="8">
        <f t="shared" si="0"/>
        <v>23</v>
      </c>
      <c r="B24" t="s">
        <v>0</v>
      </c>
      <c r="D24" t="s">
        <v>6</v>
      </c>
      <c r="E24">
        <v>0.1072</v>
      </c>
      <c r="F24">
        <v>9.3600000000000003E-2</v>
      </c>
      <c r="G24" t="s">
        <v>3</v>
      </c>
      <c r="H24">
        <v>1.0344</v>
      </c>
      <c r="I24">
        <v>0.7984</v>
      </c>
      <c r="J24" t="s">
        <v>8</v>
      </c>
      <c r="K24">
        <v>0.28050000000000003</v>
      </c>
      <c r="L24">
        <v>0.24660000000000001</v>
      </c>
      <c r="M24" t="s">
        <v>9</v>
      </c>
      <c r="N24">
        <v>0.79569999999999996</v>
      </c>
      <c r="O24">
        <v>0.59899999999999998</v>
      </c>
      <c r="P24" t="s">
        <v>10</v>
      </c>
      <c r="Q24">
        <v>0.28339999999999999</v>
      </c>
      <c r="R24">
        <v>0.24940000000000001</v>
      </c>
      <c r="S24" t="s">
        <v>11</v>
      </c>
      <c r="T24">
        <v>0.79259999999999997</v>
      </c>
      <c r="U24">
        <v>0.59709999999999996</v>
      </c>
      <c r="V24" t="s">
        <v>12</v>
      </c>
      <c r="W24">
        <v>0.2828</v>
      </c>
      <c r="X24">
        <v>0.24970000000000001</v>
      </c>
      <c r="Y24" t="s">
        <v>13</v>
      </c>
      <c r="Z24">
        <v>0.79330000000000001</v>
      </c>
      <c r="AA24">
        <v>0.59499999999999997</v>
      </c>
    </row>
    <row r="25" spans="1:28" x14ac:dyDescent="0.25">
      <c r="A25" s="8">
        <f t="shared" si="0"/>
        <v>24</v>
      </c>
      <c r="B25" t="s">
        <v>0</v>
      </c>
      <c r="D25" t="s">
        <v>8</v>
      </c>
      <c r="E25" t="s">
        <v>4</v>
      </c>
      <c r="F25" t="s">
        <v>5</v>
      </c>
      <c r="G25" t="s">
        <v>3</v>
      </c>
      <c r="H25" t="s">
        <v>7</v>
      </c>
    </row>
    <row r="26" spans="1:28" x14ac:dyDescent="0.25">
      <c r="A26" s="8">
        <f t="shared" si="0"/>
        <v>25</v>
      </c>
      <c r="B26" t="s">
        <v>0</v>
      </c>
      <c r="D26" t="s">
        <v>6</v>
      </c>
      <c r="E26">
        <v>0.87309999999999999</v>
      </c>
      <c r="F26">
        <v>0.64039999999999997</v>
      </c>
      <c r="G26" t="s">
        <v>3</v>
      </c>
      <c r="H26">
        <v>0.10580000000000001</v>
      </c>
      <c r="I26">
        <v>9.4399999999999998E-2</v>
      </c>
      <c r="J26" t="s">
        <v>8</v>
      </c>
      <c r="K26">
        <v>0.94499999999999995</v>
      </c>
      <c r="L26">
        <v>0.69950000000000001</v>
      </c>
      <c r="M26" t="s">
        <v>9</v>
      </c>
      <c r="N26">
        <v>0.37330000000000002</v>
      </c>
      <c r="O26">
        <v>0.31919999999999998</v>
      </c>
      <c r="P26" t="s">
        <v>10</v>
      </c>
      <c r="Q26">
        <v>0.87280000000000002</v>
      </c>
      <c r="R26">
        <v>0.65380000000000005</v>
      </c>
      <c r="S26" t="s">
        <v>11</v>
      </c>
      <c r="T26">
        <v>0.36859999999999998</v>
      </c>
      <c r="U26">
        <v>0.32569999999999999</v>
      </c>
      <c r="V26" t="s">
        <v>12</v>
      </c>
      <c r="W26">
        <v>0.875</v>
      </c>
      <c r="X26">
        <v>0.67020000000000002</v>
      </c>
      <c r="Y26" t="s">
        <v>13</v>
      </c>
      <c r="Z26">
        <v>0.36270000000000002</v>
      </c>
      <c r="AA26">
        <v>0.34200000000000003</v>
      </c>
    </row>
    <row r="27" spans="1:28" x14ac:dyDescent="0.25">
      <c r="A27" s="8">
        <f t="shared" si="0"/>
        <v>26</v>
      </c>
      <c r="B27" t="s">
        <v>0</v>
      </c>
      <c r="D27" t="s">
        <v>9</v>
      </c>
      <c r="E27" t="s">
        <v>4</v>
      </c>
      <c r="F27" t="s">
        <v>5</v>
      </c>
      <c r="G27" t="s">
        <v>8</v>
      </c>
      <c r="H27" t="s">
        <v>7</v>
      </c>
      <c r="AB27">
        <v>0.69530000000000003</v>
      </c>
    </row>
    <row r="28" spans="1:28" x14ac:dyDescent="0.25">
      <c r="A28" s="8">
        <f t="shared" si="0"/>
        <v>27</v>
      </c>
      <c r="B28" t="s">
        <v>0</v>
      </c>
      <c r="D28" t="s">
        <v>6</v>
      </c>
      <c r="E28">
        <v>0.18770000000000001</v>
      </c>
      <c r="F28">
        <v>0.17760000000000001</v>
      </c>
      <c r="G28" t="s">
        <v>3</v>
      </c>
      <c r="H28">
        <v>0.69699999999999995</v>
      </c>
      <c r="I28">
        <v>0.53029999999999999</v>
      </c>
      <c r="J28" t="s">
        <v>8</v>
      </c>
      <c r="K28">
        <v>0.1108</v>
      </c>
      <c r="L28">
        <v>0.10050000000000001</v>
      </c>
      <c r="M28" t="s">
        <v>9</v>
      </c>
      <c r="N28">
        <v>0.82240000000000002</v>
      </c>
      <c r="O28">
        <v>0.62339999999999995</v>
      </c>
      <c r="P28" t="s">
        <v>10</v>
      </c>
      <c r="Q28">
        <v>0.18729999999999999</v>
      </c>
      <c r="R28">
        <v>0.1704</v>
      </c>
      <c r="S28" t="s">
        <v>11</v>
      </c>
      <c r="T28">
        <v>0.69579999999999997</v>
      </c>
      <c r="U28">
        <v>0.52790000000000004</v>
      </c>
      <c r="V28" t="s">
        <v>12</v>
      </c>
      <c r="W28">
        <v>0.18590000000000001</v>
      </c>
      <c r="X28">
        <v>0.1721</v>
      </c>
      <c r="Y28" t="s">
        <v>13</v>
      </c>
      <c r="Z28">
        <v>0.69699999999999995</v>
      </c>
      <c r="AA28">
        <v>0.52669999999999995</v>
      </c>
    </row>
    <row r="29" spans="1:28" x14ac:dyDescent="0.25">
      <c r="A29" s="8">
        <f t="shared" si="0"/>
        <v>28</v>
      </c>
      <c r="B29" t="s">
        <v>0</v>
      </c>
      <c r="D29" t="s">
        <v>10</v>
      </c>
      <c r="E29" t="s">
        <v>4</v>
      </c>
      <c r="F29" t="s">
        <v>5</v>
      </c>
      <c r="G29" t="s">
        <v>9</v>
      </c>
      <c r="H29" t="s">
        <v>7</v>
      </c>
      <c r="AB29">
        <v>0.3483</v>
      </c>
    </row>
    <row r="30" spans="1:28" x14ac:dyDescent="0.25">
      <c r="A30" s="8">
        <f t="shared" si="0"/>
        <v>29</v>
      </c>
      <c r="B30" t="s">
        <v>0</v>
      </c>
      <c r="D30" t="s">
        <v>6</v>
      </c>
      <c r="E30">
        <v>0.74239999999999995</v>
      </c>
      <c r="F30">
        <v>0.55010000000000003</v>
      </c>
      <c r="G30" t="s">
        <v>3</v>
      </c>
      <c r="H30">
        <v>0.2349</v>
      </c>
      <c r="I30">
        <v>0.20730000000000001</v>
      </c>
      <c r="J30" t="s">
        <v>8</v>
      </c>
      <c r="K30">
        <v>0.74370000000000003</v>
      </c>
      <c r="L30">
        <v>0.55310000000000004</v>
      </c>
      <c r="M30" t="s">
        <v>9</v>
      </c>
      <c r="N30">
        <v>0.10879999999999999</v>
      </c>
      <c r="O30">
        <v>9.6799999999999997E-2</v>
      </c>
      <c r="P30" t="s">
        <v>10</v>
      </c>
      <c r="Q30">
        <v>0.88600000000000001</v>
      </c>
      <c r="R30">
        <v>0.67049999999999998</v>
      </c>
      <c r="S30" t="s">
        <v>11</v>
      </c>
      <c r="T30">
        <v>0.2351</v>
      </c>
      <c r="U30">
        <v>0.20430000000000001</v>
      </c>
      <c r="V30" t="s">
        <v>12</v>
      </c>
      <c r="W30">
        <v>0.74160000000000004</v>
      </c>
      <c r="X30">
        <v>0.55300000000000005</v>
      </c>
      <c r="Y30" t="s">
        <v>13</v>
      </c>
      <c r="Z30">
        <v>0.2339</v>
      </c>
      <c r="AA30">
        <v>0.2152</v>
      </c>
    </row>
    <row r="31" spans="1:28" x14ac:dyDescent="0.25">
      <c r="A31" s="8">
        <f t="shared" si="0"/>
        <v>30</v>
      </c>
      <c r="B31" t="s">
        <v>0</v>
      </c>
      <c r="D31" t="s">
        <v>11</v>
      </c>
      <c r="E31" t="s">
        <v>4</v>
      </c>
      <c r="F31" t="s">
        <v>5</v>
      </c>
      <c r="G31" t="s">
        <v>10</v>
      </c>
      <c r="H31" t="s">
        <v>7</v>
      </c>
      <c r="AB31">
        <v>0.61060000000000003</v>
      </c>
    </row>
    <row r="32" spans="1:28" x14ac:dyDescent="0.25">
      <c r="A32" s="8">
        <f t="shared" si="0"/>
        <v>31</v>
      </c>
      <c r="B32" t="s">
        <v>0</v>
      </c>
      <c r="D32" t="s">
        <v>6</v>
      </c>
      <c r="E32">
        <v>0.25080000000000002</v>
      </c>
      <c r="F32">
        <v>0.2283</v>
      </c>
      <c r="G32" t="s">
        <v>3</v>
      </c>
      <c r="H32">
        <v>0.75560000000000005</v>
      </c>
      <c r="I32">
        <v>0.57479999999999998</v>
      </c>
      <c r="J32" t="s">
        <v>8</v>
      </c>
      <c r="K32">
        <v>0.2437</v>
      </c>
      <c r="L32">
        <v>0.22109999999999999</v>
      </c>
      <c r="M32" t="s">
        <v>9</v>
      </c>
      <c r="N32">
        <v>0.75639999999999996</v>
      </c>
      <c r="O32">
        <v>0.57709999999999995</v>
      </c>
      <c r="P32" t="s">
        <v>10</v>
      </c>
      <c r="Q32">
        <v>0.1046</v>
      </c>
      <c r="R32">
        <v>9.0700000000000003E-2</v>
      </c>
      <c r="S32" t="s">
        <v>11</v>
      </c>
      <c r="T32">
        <v>0.98640000000000005</v>
      </c>
      <c r="U32">
        <v>0.7732</v>
      </c>
      <c r="V32" t="s">
        <v>12</v>
      </c>
      <c r="W32">
        <v>0.24410000000000001</v>
      </c>
      <c r="X32">
        <v>0.21940000000000001</v>
      </c>
      <c r="Y32" t="s">
        <v>13</v>
      </c>
      <c r="Z32">
        <v>0.75519999999999998</v>
      </c>
      <c r="AA32">
        <v>0.56679999999999997</v>
      </c>
    </row>
    <row r="33" spans="1:28" x14ac:dyDescent="0.25">
      <c r="A33" s="8">
        <f t="shared" si="0"/>
        <v>32</v>
      </c>
      <c r="B33" t="s">
        <v>0</v>
      </c>
      <c r="D33" t="s">
        <v>12</v>
      </c>
      <c r="E33" t="s">
        <v>4</v>
      </c>
      <c r="F33" t="s">
        <v>5</v>
      </c>
      <c r="G33" t="s">
        <v>11</v>
      </c>
      <c r="H33" t="s">
        <v>7</v>
      </c>
      <c r="AB33">
        <v>0.21740000000000001</v>
      </c>
    </row>
    <row r="34" spans="1:28" x14ac:dyDescent="0.25">
      <c r="A34" s="8">
        <f t="shared" si="0"/>
        <v>33</v>
      </c>
      <c r="B34" t="s">
        <v>0</v>
      </c>
      <c r="D34" t="s">
        <v>6</v>
      </c>
      <c r="E34">
        <v>0.85570000000000002</v>
      </c>
      <c r="F34">
        <v>0.63580000000000003</v>
      </c>
      <c r="G34" t="s">
        <v>3</v>
      </c>
      <c r="H34">
        <v>0.34489999999999998</v>
      </c>
      <c r="I34">
        <v>0.30130000000000001</v>
      </c>
      <c r="J34" t="s">
        <v>8</v>
      </c>
      <c r="K34">
        <v>0.85119999999999996</v>
      </c>
      <c r="L34">
        <v>0.63939999999999997</v>
      </c>
      <c r="M34" t="s">
        <v>9</v>
      </c>
      <c r="N34">
        <v>0.34889999999999999</v>
      </c>
      <c r="O34">
        <v>0.31180000000000002</v>
      </c>
      <c r="P34" t="s">
        <v>10</v>
      </c>
      <c r="Q34">
        <v>0.85599999999999998</v>
      </c>
      <c r="R34">
        <v>0.64370000000000005</v>
      </c>
      <c r="S34" t="s">
        <v>11</v>
      </c>
      <c r="T34">
        <v>0.10390000000000001</v>
      </c>
      <c r="U34">
        <v>9.1899999999999996E-2</v>
      </c>
      <c r="V34" t="s">
        <v>12</v>
      </c>
      <c r="W34">
        <v>0.91410000000000002</v>
      </c>
      <c r="X34">
        <v>0.69220000000000004</v>
      </c>
      <c r="Y34" t="s">
        <v>13</v>
      </c>
      <c r="Z34">
        <v>0.3463</v>
      </c>
      <c r="AA34">
        <v>0.31159999999999999</v>
      </c>
    </row>
    <row r="35" spans="1:28" x14ac:dyDescent="0.25">
      <c r="A35" s="8">
        <f t="shared" si="0"/>
        <v>34</v>
      </c>
      <c r="B35" t="s">
        <v>0</v>
      </c>
      <c r="D35" t="s">
        <v>13</v>
      </c>
      <c r="E35" t="s">
        <v>4</v>
      </c>
      <c r="F35" t="s">
        <v>5</v>
      </c>
      <c r="G35" t="s">
        <v>12</v>
      </c>
      <c r="H35" t="s">
        <v>7</v>
      </c>
      <c r="AB35">
        <v>0.67859999999999998</v>
      </c>
    </row>
    <row r="36" spans="1:28" x14ac:dyDescent="0.25">
      <c r="A36" s="8">
        <f t="shared" si="0"/>
        <v>35</v>
      </c>
      <c r="B36" t="s">
        <v>0</v>
      </c>
      <c r="D36" t="s">
        <v>6</v>
      </c>
      <c r="E36">
        <v>0.16869999999999999</v>
      </c>
      <c r="F36">
        <v>0.16220000000000001</v>
      </c>
      <c r="G36" t="s">
        <v>3</v>
      </c>
      <c r="H36">
        <v>0.68179999999999996</v>
      </c>
      <c r="I36">
        <v>0.49809999999999999</v>
      </c>
      <c r="J36" t="s">
        <v>8</v>
      </c>
      <c r="K36">
        <v>0.17130000000000001</v>
      </c>
      <c r="L36">
        <v>0.15260000000000001</v>
      </c>
      <c r="M36" t="s">
        <v>9</v>
      </c>
      <c r="N36">
        <v>0.68</v>
      </c>
      <c r="O36">
        <v>0.502</v>
      </c>
      <c r="P36" t="s">
        <v>10</v>
      </c>
      <c r="Q36">
        <v>0.17019999999999999</v>
      </c>
      <c r="R36">
        <v>0.15359999999999999</v>
      </c>
      <c r="S36" t="s">
        <v>11</v>
      </c>
      <c r="T36">
        <v>0.6794</v>
      </c>
      <c r="U36">
        <v>0.50570000000000004</v>
      </c>
      <c r="V36" t="s">
        <v>12</v>
      </c>
      <c r="W36">
        <v>0.10580000000000001</v>
      </c>
      <c r="X36">
        <v>9.4200000000000006E-2</v>
      </c>
      <c r="Y36" t="s">
        <v>13</v>
      </c>
      <c r="Z36">
        <v>1.0189999999999999</v>
      </c>
      <c r="AA36">
        <v>0.78559999999999997</v>
      </c>
    </row>
    <row r="37" spans="1:28" x14ac:dyDescent="0.25">
      <c r="A37" s="8">
        <f t="shared" si="0"/>
        <v>36</v>
      </c>
      <c r="B37" t="s">
        <v>0</v>
      </c>
      <c r="D37" t="s">
        <v>6</v>
      </c>
      <c r="E37" t="s">
        <v>4</v>
      </c>
      <c r="F37" t="s">
        <v>5</v>
      </c>
      <c r="G37" t="s">
        <v>13</v>
      </c>
      <c r="H37" t="s">
        <v>7</v>
      </c>
      <c r="AB37">
        <v>0.32469999999999999</v>
      </c>
    </row>
    <row r="38" spans="1:28" x14ac:dyDescent="0.25">
      <c r="A38" s="8">
        <f t="shared" si="0"/>
        <v>37</v>
      </c>
      <c r="B38" t="s">
        <v>0</v>
      </c>
      <c r="D38" t="s">
        <v>6</v>
      </c>
      <c r="E38">
        <v>1.1012999999999999</v>
      </c>
      <c r="F38">
        <v>0.79830000000000001</v>
      </c>
      <c r="G38" t="s">
        <v>3</v>
      </c>
      <c r="H38">
        <v>0.45610000000000001</v>
      </c>
      <c r="I38">
        <v>0.36969999999999997</v>
      </c>
      <c r="J38" t="s">
        <v>8</v>
      </c>
      <c r="K38">
        <v>0.95650000000000002</v>
      </c>
      <c r="L38">
        <v>0.69059999999999999</v>
      </c>
      <c r="M38" t="s">
        <v>9</v>
      </c>
      <c r="N38">
        <v>0.45400000000000001</v>
      </c>
      <c r="O38">
        <v>0.37469999999999998</v>
      </c>
      <c r="P38" t="s">
        <v>10</v>
      </c>
      <c r="Q38">
        <v>0.96540000000000004</v>
      </c>
      <c r="R38">
        <v>0.6905</v>
      </c>
      <c r="S38" t="s">
        <v>11</v>
      </c>
      <c r="T38">
        <v>0.45229999999999998</v>
      </c>
      <c r="U38">
        <v>0.36820000000000003</v>
      </c>
      <c r="V38" t="s">
        <v>12</v>
      </c>
      <c r="W38">
        <v>0.95789999999999997</v>
      </c>
      <c r="X38">
        <v>0.6845</v>
      </c>
      <c r="Y38" t="s">
        <v>13</v>
      </c>
      <c r="Z38">
        <v>0.1048</v>
      </c>
      <c r="AA38">
        <v>8.4000000000000005E-2</v>
      </c>
    </row>
    <row r="39" spans="1:28" x14ac:dyDescent="0.25">
      <c r="A39" s="8">
        <f t="shared" si="0"/>
        <v>38</v>
      </c>
    </row>
    <row r="40" spans="1:28" x14ac:dyDescent="0.25">
      <c r="A40" s="8">
        <f t="shared" si="0"/>
        <v>39</v>
      </c>
    </row>
    <row r="41" spans="1:28" x14ac:dyDescent="0.25">
      <c r="A41" s="8">
        <f t="shared" si="0"/>
        <v>40</v>
      </c>
    </row>
    <row r="42" spans="1:28" x14ac:dyDescent="0.25">
      <c r="A42" s="8">
        <f t="shared" si="0"/>
        <v>41</v>
      </c>
      <c r="B42" t="s">
        <v>0</v>
      </c>
      <c r="D42" t="s">
        <v>1</v>
      </c>
      <c r="E42">
        <v>1.5607</v>
      </c>
      <c r="F42">
        <v>1.0448999999999999</v>
      </c>
      <c r="G42" t="s">
        <v>2</v>
      </c>
      <c r="H42">
        <v>0</v>
      </c>
      <c r="I42">
        <v>0</v>
      </c>
      <c r="AB42">
        <v>0.88490000000000002</v>
      </c>
    </row>
    <row r="43" spans="1:28" x14ac:dyDescent="0.25">
      <c r="A43" s="8">
        <f t="shared" si="0"/>
        <v>42</v>
      </c>
      <c r="B43" t="s">
        <v>0</v>
      </c>
      <c r="D43" t="s">
        <v>3</v>
      </c>
      <c r="E43" t="s">
        <v>4</v>
      </c>
      <c r="F43" t="s">
        <v>5</v>
      </c>
      <c r="G43" t="s">
        <v>6</v>
      </c>
      <c r="H43" t="s">
        <v>7</v>
      </c>
    </row>
    <row r="44" spans="1:28" x14ac:dyDescent="0.25">
      <c r="A44" s="8">
        <f t="shared" si="0"/>
        <v>43</v>
      </c>
      <c r="B44" t="s">
        <v>0</v>
      </c>
      <c r="D44" t="s">
        <v>6</v>
      </c>
      <c r="E44">
        <v>0.108</v>
      </c>
      <c r="F44">
        <v>0.1032</v>
      </c>
      <c r="G44" t="s">
        <v>3</v>
      </c>
      <c r="H44">
        <v>1.0354000000000001</v>
      </c>
      <c r="I44">
        <v>0.79879999999999995</v>
      </c>
      <c r="J44" t="s">
        <v>8</v>
      </c>
      <c r="K44">
        <v>0.27839999999999998</v>
      </c>
      <c r="L44">
        <v>0.24879999999999999</v>
      </c>
      <c r="M44" t="s">
        <v>9</v>
      </c>
      <c r="N44">
        <v>0.79210000000000003</v>
      </c>
      <c r="O44">
        <v>0.59630000000000005</v>
      </c>
      <c r="P44" t="s">
        <v>10</v>
      </c>
      <c r="Q44">
        <v>0.28299999999999997</v>
      </c>
      <c r="R44">
        <v>0.252</v>
      </c>
      <c r="S44" t="s">
        <v>11</v>
      </c>
      <c r="T44">
        <v>0.79300000000000004</v>
      </c>
      <c r="U44">
        <v>0.60040000000000004</v>
      </c>
      <c r="V44" t="s">
        <v>12</v>
      </c>
      <c r="W44">
        <v>0.28320000000000001</v>
      </c>
      <c r="X44">
        <v>0.2457</v>
      </c>
      <c r="Y44" t="s">
        <v>13</v>
      </c>
      <c r="Z44">
        <v>0.79279999999999995</v>
      </c>
      <c r="AA44">
        <v>0.5958</v>
      </c>
      <c r="AB44">
        <v>9.1800000000000007E-2</v>
      </c>
    </row>
    <row r="45" spans="1:28" x14ac:dyDescent="0.25">
      <c r="A45" s="8">
        <f t="shared" si="0"/>
        <v>44</v>
      </c>
      <c r="B45" t="s">
        <v>0</v>
      </c>
      <c r="D45" t="s">
        <v>8</v>
      </c>
      <c r="E45" t="s">
        <v>4</v>
      </c>
      <c r="F45" t="s">
        <v>5</v>
      </c>
      <c r="G45" t="s">
        <v>3</v>
      </c>
      <c r="H45" t="s">
        <v>7</v>
      </c>
    </row>
    <row r="46" spans="1:28" x14ac:dyDescent="0.25">
      <c r="A46" s="8">
        <f t="shared" si="0"/>
        <v>45</v>
      </c>
      <c r="B46" t="s">
        <v>0</v>
      </c>
      <c r="D46" t="s">
        <v>6</v>
      </c>
      <c r="E46">
        <v>0.87670000000000003</v>
      </c>
      <c r="F46">
        <v>0.64670000000000005</v>
      </c>
      <c r="G46" t="s">
        <v>3</v>
      </c>
      <c r="H46">
        <v>0.1074</v>
      </c>
      <c r="I46">
        <v>9.4899999999999998E-2</v>
      </c>
      <c r="J46" t="s">
        <v>8</v>
      </c>
      <c r="K46">
        <v>0.95179999999999998</v>
      </c>
      <c r="L46">
        <v>0.72270000000000001</v>
      </c>
      <c r="M46" t="s">
        <v>9</v>
      </c>
      <c r="N46">
        <v>0.37059999999999998</v>
      </c>
      <c r="O46">
        <v>0.3211</v>
      </c>
      <c r="P46" t="s">
        <v>10</v>
      </c>
      <c r="Q46">
        <v>0.87919999999999998</v>
      </c>
      <c r="R46">
        <v>0.65749999999999997</v>
      </c>
      <c r="S46" t="s">
        <v>11</v>
      </c>
      <c r="T46">
        <v>0.36809999999999998</v>
      </c>
      <c r="U46">
        <v>0.31900000000000001</v>
      </c>
      <c r="V46" t="s">
        <v>12</v>
      </c>
      <c r="W46">
        <v>0.87549999999999994</v>
      </c>
      <c r="X46">
        <v>0.65349999999999997</v>
      </c>
      <c r="Y46" t="s">
        <v>13</v>
      </c>
      <c r="Z46">
        <v>0.36840000000000001</v>
      </c>
      <c r="AA46">
        <v>0.32969999999999999</v>
      </c>
    </row>
    <row r="47" spans="1:28" x14ac:dyDescent="0.25">
      <c r="A47" s="8">
        <f t="shared" si="0"/>
        <v>46</v>
      </c>
      <c r="B47" t="s">
        <v>0</v>
      </c>
      <c r="D47" t="s">
        <v>9</v>
      </c>
      <c r="E47" t="s">
        <v>4</v>
      </c>
      <c r="F47" t="s">
        <v>5</v>
      </c>
      <c r="G47" t="s">
        <v>8</v>
      </c>
      <c r="H47" t="s">
        <v>7</v>
      </c>
    </row>
    <row r="48" spans="1:28" x14ac:dyDescent="0.25">
      <c r="A48" s="8">
        <f t="shared" si="0"/>
        <v>47</v>
      </c>
      <c r="B48" t="s">
        <v>0</v>
      </c>
      <c r="D48" t="s">
        <v>6</v>
      </c>
      <c r="E48">
        <v>0.19059999999999999</v>
      </c>
      <c r="F48">
        <v>0.17829999999999999</v>
      </c>
      <c r="G48" t="s">
        <v>3</v>
      </c>
      <c r="H48">
        <v>0.69720000000000004</v>
      </c>
      <c r="I48">
        <v>0.53280000000000005</v>
      </c>
      <c r="J48" t="s">
        <v>8</v>
      </c>
      <c r="K48">
        <v>0.1096</v>
      </c>
      <c r="L48">
        <v>0.10050000000000001</v>
      </c>
      <c r="M48" t="s">
        <v>9</v>
      </c>
      <c r="N48">
        <v>0.82069999999999999</v>
      </c>
      <c r="O48">
        <v>0.64219999999999999</v>
      </c>
      <c r="P48" t="s">
        <v>10</v>
      </c>
      <c r="Q48">
        <v>0.18709999999999999</v>
      </c>
      <c r="R48">
        <v>0.1716</v>
      </c>
      <c r="S48" t="s">
        <v>11</v>
      </c>
      <c r="T48">
        <v>0.69550000000000001</v>
      </c>
      <c r="U48">
        <v>0.53069999999999995</v>
      </c>
      <c r="V48" t="s">
        <v>12</v>
      </c>
      <c r="W48">
        <v>0.18629999999999999</v>
      </c>
      <c r="X48">
        <v>0.17019999999999999</v>
      </c>
      <c r="Y48" t="s">
        <v>13</v>
      </c>
      <c r="Z48">
        <v>0.69689999999999996</v>
      </c>
      <c r="AA48">
        <v>0.52349999999999997</v>
      </c>
    </row>
    <row r="49" spans="1:28" x14ac:dyDescent="0.25">
      <c r="A49" s="8">
        <f t="shared" si="0"/>
        <v>48</v>
      </c>
      <c r="B49" t="s">
        <v>0</v>
      </c>
      <c r="D49" t="s">
        <v>10</v>
      </c>
      <c r="E49" t="s">
        <v>4</v>
      </c>
      <c r="F49" t="s">
        <v>5</v>
      </c>
      <c r="G49" t="s">
        <v>9</v>
      </c>
      <c r="H49" t="s">
        <v>7</v>
      </c>
    </row>
    <row r="50" spans="1:28" x14ac:dyDescent="0.25">
      <c r="A50" s="8">
        <f t="shared" si="0"/>
        <v>49</v>
      </c>
      <c r="B50" t="s">
        <v>0</v>
      </c>
      <c r="D50" t="s">
        <v>6</v>
      </c>
      <c r="E50">
        <v>0.74509999999999998</v>
      </c>
      <c r="F50">
        <v>0.55220000000000002</v>
      </c>
      <c r="G50" t="s">
        <v>3</v>
      </c>
      <c r="H50">
        <v>0.23219999999999999</v>
      </c>
      <c r="I50">
        <v>0.20749999999999999</v>
      </c>
      <c r="J50" t="s">
        <v>8</v>
      </c>
      <c r="K50">
        <v>0.74</v>
      </c>
      <c r="L50">
        <v>0.54769999999999996</v>
      </c>
      <c r="M50" t="s">
        <v>9</v>
      </c>
      <c r="N50">
        <v>0.109</v>
      </c>
      <c r="O50">
        <v>9.6199999999999994E-2</v>
      </c>
      <c r="P50" t="s">
        <v>10</v>
      </c>
      <c r="Q50">
        <v>0.88649999999999995</v>
      </c>
      <c r="R50">
        <v>0.6704</v>
      </c>
      <c r="S50" t="s">
        <v>11</v>
      </c>
      <c r="T50">
        <v>0.2324</v>
      </c>
      <c r="U50">
        <v>0.20730000000000001</v>
      </c>
      <c r="V50" t="s">
        <v>12</v>
      </c>
      <c r="W50">
        <v>0.74329999999999996</v>
      </c>
      <c r="X50">
        <v>0.55149999999999999</v>
      </c>
      <c r="Y50" t="s">
        <v>13</v>
      </c>
      <c r="Z50">
        <v>0.2326</v>
      </c>
      <c r="AA50">
        <v>0.21659999999999999</v>
      </c>
      <c r="AB50">
        <v>0.69840000000000002</v>
      </c>
    </row>
    <row r="51" spans="1:28" x14ac:dyDescent="0.25">
      <c r="A51" s="8">
        <f t="shared" si="0"/>
        <v>50</v>
      </c>
      <c r="B51" t="s">
        <v>0</v>
      </c>
      <c r="D51" t="s">
        <v>11</v>
      </c>
      <c r="E51" t="s">
        <v>4</v>
      </c>
      <c r="F51" t="s">
        <v>5</v>
      </c>
      <c r="G51" t="s">
        <v>10</v>
      </c>
      <c r="H51" t="s">
        <v>7</v>
      </c>
    </row>
    <row r="52" spans="1:28" x14ac:dyDescent="0.25">
      <c r="A52" s="8">
        <f t="shared" si="0"/>
        <v>51</v>
      </c>
      <c r="B52" t="s">
        <v>0</v>
      </c>
      <c r="D52" t="s">
        <v>6</v>
      </c>
      <c r="E52">
        <v>0.245</v>
      </c>
      <c r="F52">
        <v>0.2238</v>
      </c>
      <c r="G52" t="s">
        <v>3</v>
      </c>
      <c r="H52">
        <v>0.7571</v>
      </c>
      <c r="I52">
        <v>0.57650000000000001</v>
      </c>
      <c r="J52" t="s">
        <v>8</v>
      </c>
      <c r="K52">
        <v>0.24529999999999999</v>
      </c>
      <c r="L52">
        <v>0.22009999999999999</v>
      </c>
      <c r="M52" t="s">
        <v>9</v>
      </c>
      <c r="N52">
        <v>0.75119999999999998</v>
      </c>
      <c r="O52">
        <v>0.57689999999999997</v>
      </c>
      <c r="P52" t="s">
        <v>10</v>
      </c>
      <c r="Q52">
        <v>0.1074</v>
      </c>
      <c r="R52">
        <v>9.5600000000000004E-2</v>
      </c>
      <c r="S52" t="s">
        <v>11</v>
      </c>
      <c r="T52">
        <v>0.99629999999999996</v>
      </c>
      <c r="U52">
        <v>0.77859999999999996</v>
      </c>
      <c r="V52" t="s">
        <v>12</v>
      </c>
      <c r="W52">
        <v>0.2447</v>
      </c>
      <c r="X52">
        <v>0.22509999999999999</v>
      </c>
      <c r="Y52" t="s">
        <v>13</v>
      </c>
      <c r="Z52">
        <v>0.76180000000000003</v>
      </c>
      <c r="AA52">
        <v>0.57499999999999996</v>
      </c>
      <c r="AB52">
        <v>0.31490000000000001</v>
      </c>
    </row>
    <row r="53" spans="1:28" x14ac:dyDescent="0.25">
      <c r="A53" s="8">
        <f t="shared" si="0"/>
        <v>52</v>
      </c>
      <c r="B53" t="s">
        <v>0</v>
      </c>
      <c r="D53" t="s">
        <v>12</v>
      </c>
      <c r="E53" t="s">
        <v>4</v>
      </c>
      <c r="F53" t="s">
        <v>5</v>
      </c>
      <c r="G53" t="s">
        <v>11</v>
      </c>
      <c r="H53" t="s">
        <v>7</v>
      </c>
    </row>
    <row r="54" spans="1:28" x14ac:dyDescent="0.25">
      <c r="A54" s="8">
        <f t="shared" si="0"/>
        <v>53</v>
      </c>
      <c r="B54" t="s">
        <v>0</v>
      </c>
      <c r="D54" t="s">
        <v>6</v>
      </c>
      <c r="E54">
        <v>0.85299999999999998</v>
      </c>
      <c r="F54">
        <v>0.64319999999999999</v>
      </c>
      <c r="G54" t="s">
        <v>3</v>
      </c>
      <c r="H54">
        <v>0.34210000000000002</v>
      </c>
      <c r="I54">
        <v>0.30220000000000002</v>
      </c>
      <c r="J54" t="s">
        <v>8</v>
      </c>
      <c r="K54">
        <v>0.85189999999999999</v>
      </c>
      <c r="L54">
        <v>0.64790000000000003</v>
      </c>
      <c r="M54" t="s">
        <v>9</v>
      </c>
      <c r="N54">
        <v>0.34370000000000001</v>
      </c>
      <c r="O54">
        <v>0.29799999999999999</v>
      </c>
      <c r="P54" t="s">
        <v>10</v>
      </c>
      <c r="Q54">
        <v>0.85799999999999998</v>
      </c>
      <c r="R54">
        <v>0.64870000000000005</v>
      </c>
      <c r="S54" t="s">
        <v>11</v>
      </c>
      <c r="T54">
        <v>0.1051</v>
      </c>
      <c r="U54">
        <v>9.1499999999999998E-2</v>
      </c>
      <c r="V54" t="s">
        <v>12</v>
      </c>
      <c r="W54">
        <v>0.91779999999999995</v>
      </c>
      <c r="X54">
        <v>0.68889999999999996</v>
      </c>
      <c r="Y54" t="s">
        <v>13</v>
      </c>
      <c r="Z54">
        <v>0.34660000000000002</v>
      </c>
      <c r="AA54">
        <v>0.3155</v>
      </c>
      <c r="AB54">
        <v>0.64559999999999995</v>
      </c>
    </row>
    <row r="55" spans="1:28" x14ac:dyDescent="0.25">
      <c r="A55" s="8">
        <f t="shared" si="0"/>
        <v>54</v>
      </c>
      <c r="B55" t="s">
        <v>0</v>
      </c>
      <c r="D55" t="s">
        <v>13</v>
      </c>
      <c r="E55" t="s">
        <v>4</v>
      </c>
      <c r="F55" t="s">
        <v>5</v>
      </c>
      <c r="G55" t="s">
        <v>12</v>
      </c>
      <c r="H55" t="s">
        <v>7</v>
      </c>
    </row>
    <row r="56" spans="1:28" x14ac:dyDescent="0.25">
      <c r="A56" s="8">
        <f t="shared" si="0"/>
        <v>55</v>
      </c>
      <c r="B56" t="s">
        <v>0</v>
      </c>
      <c r="D56" t="s">
        <v>6</v>
      </c>
      <c r="E56">
        <v>0.16689999999999999</v>
      </c>
      <c r="F56">
        <v>0.15540000000000001</v>
      </c>
      <c r="G56" t="s">
        <v>3</v>
      </c>
      <c r="H56">
        <v>0.6784</v>
      </c>
      <c r="I56">
        <v>0.50380000000000003</v>
      </c>
      <c r="J56" t="s">
        <v>8</v>
      </c>
      <c r="K56">
        <v>0.16819999999999999</v>
      </c>
      <c r="L56">
        <v>0.1532</v>
      </c>
      <c r="M56" t="s">
        <v>9</v>
      </c>
      <c r="N56">
        <v>0.68230000000000002</v>
      </c>
      <c r="O56">
        <v>0.50600000000000001</v>
      </c>
      <c r="P56" t="s">
        <v>10</v>
      </c>
      <c r="Q56">
        <v>0.1694</v>
      </c>
      <c r="R56">
        <v>0.15010000000000001</v>
      </c>
      <c r="S56" t="s">
        <v>11</v>
      </c>
      <c r="T56">
        <v>0.67920000000000003</v>
      </c>
      <c r="U56">
        <v>0.50409999999999999</v>
      </c>
      <c r="V56" t="s">
        <v>12</v>
      </c>
      <c r="W56">
        <v>0.1043</v>
      </c>
      <c r="X56">
        <v>9.3899999999999997E-2</v>
      </c>
      <c r="Y56" t="s">
        <v>13</v>
      </c>
      <c r="Z56">
        <v>1.0197000000000001</v>
      </c>
      <c r="AA56">
        <v>0.79490000000000005</v>
      </c>
      <c r="AB56">
        <v>0.21759999999999999</v>
      </c>
    </row>
    <row r="57" spans="1:28" x14ac:dyDescent="0.25">
      <c r="A57" s="8">
        <f t="shared" si="0"/>
        <v>56</v>
      </c>
      <c r="B57" t="s">
        <v>0</v>
      </c>
      <c r="D57" t="s">
        <v>6</v>
      </c>
      <c r="E57" t="s">
        <v>4</v>
      </c>
      <c r="F57" t="s">
        <v>5</v>
      </c>
      <c r="G57" t="s">
        <v>13</v>
      </c>
      <c r="H57" t="s">
        <v>7</v>
      </c>
    </row>
    <row r="58" spans="1:28" x14ac:dyDescent="0.25">
      <c r="A58" s="8">
        <f t="shared" si="0"/>
        <v>57</v>
      </c>
      <c r="B58" t="s">
        <v>0</v>
      </c>
      <c r="D58" t="s">
        <v>6</v>
      </c>
      <c r="E58">
        <v>1.1032</v>
      </c>
      <c r="F58">
        <v>0.79459999999999997</v>
      </c>
      <c r="G58" t="s">
        <v>3</v>
      </c>
      <c r="H58">
        <v>0.45300000000000001</v>
      </c>
      <c r="I58">
        <v>0.37</v>
      </c>
      <c r="J58" t="s">
        <v>8</v>
      </c>
      <c r="K58">
        <v>0.95950000000000002</v>
      </c>
      <c r="L58">
        <v>0.68989999999999996</v>
      </c>
      <c r="M58" t="s">
        <v>9</v>
      </c>
      <c r="N58">
        <v>0.45129999999999998</v>
      </c>
      <c r="O58">
        <v>0.36620000000000003</v>
      </c>
      <c r="P58" t="s">
        <v>10</v>
      </c>
      <c r="Q58">
        <v>0.96079999999999999</v>
      </c>
      <c r="R58">
        <v>0.68089999999999995</v>
      </c>
      <c r="S58" t="s">
        <v>11</v>
      </c>
      <c r="T58">
        <v>0.45469999999999999</v>
      </c>
      <c r="U58">
        <v>0.37409999999999999</v>
      </c>
      <c r="V58" t="s">
        <v>12</v>
      </c>
      <c r="W58">
        <v>0.95509999999999995</v>
      </c>
      <c r="X58">
        <v>0.67220000000000002</v>
      </c>
      <c r="Y58" t="s">
        <v>13</v>
      </c>
      <c r="Z58">
        <v>0.1032</v>
      </c>
      <c r="AA58">
        <v>8.6099999999999996E-2</v>
      </c>
      <c r="AB58">
        <v>0.67949999999999999</v>
      </c>
    </row>
    <row r="59" spans="1:28" x14ac:dyDescent="0.25">
      <c r="A59" s="8">
        <f t="shared" si="0"/>
        <v>58</v>
      </c>
    </row>
    <row r="60" spans="1:28" x14ac:dyDescent="0.25">
      <c r="A60" s="8">
        <f t="shared" si="0"/>
        <v>59</v>
      </c>
    </row>
    <row r="61" spans="1:28" x14ac:dyDescent="0.25">
      <c r="A61" s="8">
        <f t="shared" si="0"/>
        <v>60</v>
      </c>
    </row>
    <row r="62" spans="1:28" x14ac:dyDescent="0.25">
      <c r="A62" s="8">
        <f t="shared" si="0"/>
        <v>61</v>
      </c>
      <c r="B62" t="s">
        <v>0</v>
      </c>
      <c r="D62" t="s">
        <v>1</v>
      </c>
      <c r="E62">
        <v>1.5638000000000001</v>
      </c>
      <c r="F62">
        <v>1.038</v>
      </c>
      <c r="G62" t="s">
        <v>2</v>
      </c>
      <c r="H62">
        <v>0</v>
      </c>
      <c r="I62">
        <v>0</v>
      </c>
    </row>
    <row r="63" spans="1:28" x14ac:dyDescent="0.25">
      <c r="A63" s="8">
        <f t="shared" si="0"/>
        <v>62</v>
      </c>
      <c r="B63" t="s">
        <v>0</v>
      </c>
      <c r="D63" t="s">
        <v>3</v>
      </c>
      <c r="E63" t="s">
        <v>4</v>
      </c>
      <c r="F63" t="s">
        <v>5</v>
      </c>
      <c r="G63" t="s">
        <v>6</v>
      </c>
      <c r="H63" t="s">
        <v>7</v>
      </c>
      <c r="AB63">
        <v>0.32179999999999997</v>
      </c>
    </row>
    <row r="64" spans="1:28" x14ac:dyDescent="0.25">
      <c r="A64" s="8">
        <f t="shared" si="0"/>
        <v>63</v>
      </c>
      <c r="B64" t="s">
        <v>0</v>
      </c>
      <c r="D64" t="s">
        <v>6</v>
      </c>
      <c r="E64">
        <v>0.10780000000000001</v>
      </c>
      <c r="F64">
        <v>9.8400000000000001E-2</v>
      </c>
      <c r="G64" t="s">
        <v>3</v>
      </c>
      <c r="H64">
        <v>1.0388999999999999</v>
      </c>
      <c r="I64">
        <v>0.80910000000000004</v>
      </c>
      <c r="J64" t="s">
        <v>8</v>
      </c>
      <c r="K64">
        <v>0.28549999999999998</v>
      </c>
      <c r="L64">
        <v>0.24909999999999999</v>
      </c>
      <c r="M64" t="s">
        <v>9</v>
      </c>
      <c r="N64">
        <v>0.79390000000000005</v>
      </c>
      <c r="O64">
        <v>0.59770000000000001</v>
      </c>
      <c r="P64" t="s">
        <v>10</v>
      </c>
      <c r="Q64">
        <v>0.28620000000000001</v>
      </c>
      <c r="R64">
        <v>0.25</v>
      </c>
      <c r="S64" t="s">
        <v>11</v>
      </c>
      <c r="T64">
        <v>0.79320000000000002</v>
      </c>
      <c r="U64">
        <v>0.5948</v>
      </c>
      <c r="V64" t="s">
        <v>12</v>
      </c>
      <c r="W64">
        <v>0.27910000000000001</v>
      </c>
      <c r="X64">
        <v>0.24510000000000001</v>
      </c>
      <c r="Y64" t="s">
        <v>13</v>
      </c>
      <c r="Z64">
        <v>0.79330000000000001</v>
      </c>
      <c r="AA64">
        <v>0.59589999999999999</v>
      </c>
    </row>
    <row r="65" spans="1:28" x14ac:dyDescent="0.25">
      <c r="A65" s="8">
        <f t="shared" si="0"/>
        <v>64</v>
      </c>
      <c r="B65" t="s">
        <v>0</v>
      </c>
      <c r="D65" t="s">
        <v>8</v>
      </c>
      <c r="E65" t="s">
        <v>4</v>
      </c>
      <c r="F65" t="s">
        <v>5</v>
      </c>
      <c r="G65" t="s">
        <v>3</v>
      </c>
      <c r="H65" t="s">
        <v>7</v>
      </c>
      <c r="AB65">
        <v>0.87909999999999999</v>
      </c>
    </row>
    <row r="66" spans="1:28" x14ac:dyDescent="0.25">
      <c r="A66" s="8">
        <f t="shared" si="0"/>
        <v>65</v>
      </c>
      <c r="B66" t="s">
        <v>0</v>
      </c>
      <c r="D66" t="s">
        <v>6</v>
      </c>
      <c r="E66">
        <v>0.87719999999999998</v>
      </c>
      <c r="F66">
        <v>0.65890000000000004</v>
      </c>
      <c r="G66" t="s">
        <v>3</v>
      </c>
      <c r="H66">
        <v>0.10730000000000001</v>
      </c>
      <c r="I66">
        <v>9.4600000000000004E-2</v>
      </c>
      <c r="J66" t="s">
        <v>8</v>
      </c>
      <c r="K66">
        <v>0.95289999999999997</v>
      </c>
      <c r="L66">
        <v>0.72</v>
      </c>
      <c r="M66" t="s">
        <v>9</v>
      </c>
      <c r="N66">
        <v>0.36969999999999997</v>
      </c>
      <c r="O66">
        <v>0.32029999999999997</v>
      </c>
      <c r="P66" t="s">
        <v>10</v>
      </c>
      <c r="Q66">
        <v>0.88090000000000002</v>
      </c>
      <c r="R66">
        <v>0.65759999999999996</v>
      </c>
      <c r="S66" t="s">
        <v>11</v>
      </c>
      <c r="T66">
        <v>0.36680000000000001</v>
      </c>
      <c r="U66">
        <v>0.3206</v>
      </c>
      <c r="V66" t="s">
        <v>12</v>
      </c>
      <c r="W66">
        <v>0.87760000000000005</v>
      </c>
      <c r="X66">
        <v>0.65780000000000005</v>
      </c>
      <c r="Y66" t="s">
        <v>13</v>
      </c>
      <c r="Z66">
        <v>0.36990000000000001</v>
      </c>
      <c r="AA66">
        <v>0.33500000000000002</v>
      </c>
    </row>
    <row r="67" spans="1:28" x14ac:dyDescent="0.25">
      <c r="A67" s="8">
        <f t="shared" si="0"/>
        <v>66</v>
      </c>
      <c r="B67" t="s">
        <v>0</v>
      </c>
      <c r="D67" t="s">
        <v>9</v>
      </c>
      <c r="E67" t="s">
        <v>4</v>
      </c>
      <c r="F67" t="s">
        <v>5</v>
      </c>
      <c r="G67" t="s">
        <v>8</v>
      </c>
      <c r="H67" t="s">
        <v>7</v>
      </c>
      <c r="AB67">
        <v>9.4500000000000001E-2</v>
      </c>
    </row>
    <row r="68" spans="1:28" x14ac:dyDescent="0.25">
      <c r="A68" s="8">
        <f t="shared" ref="A68:A118" si="1">A67+1</f>
        <v>67</v>
      </c>
      <c r="B68" t="s">
        <v>0</v>
      </c>
      <c r="D68" t="s">
        <v>6</v>
      </c>
      <c r="E68">
        <v>0.18809999999999999</v>
      </c>
      <c r="F68">
        <v>0.17710000000000001</v>
      </c>
      <c r="G68" t="s">
        <v>3</v>
      </c>
      <c r="H68">
        <v>0.69869999999999999</v>
      </c>
      <c r="I68">
        <v>0.52959999999999996</v>
      </c>
      <c r="J68" t="s">
        <v>8</v>
      </c>
      <c r="K68">
        <v>0.109</v>
      </c>
      <c r="L68">
        <v>0.10009999999999999</v>
      </c>
      <c r="M68" t="s">
        <v>9</v>
      </c>
      <c r="N68">
        <v>0.82210000000000005</v>
      </c>
      <c r="O68">
        <v>0.63690000000000002</v>
      </c>
      <c r="P68" t="s">
        <v>10</v>
      </c>
      <c r="Q68">
        <v>0.18640000000000001</v>
      </c>
      <c r="R68">
        <v>0.1711</v>
      </c>
      <c r="S68" t="s">
        <v>11</v>
      </c>
      <c r="T68">
        <v>0.69679999999999997</v>
      </c>
      <c r="U68">
        <v>0.52969999999999995</v>
      </c>
      <c r="V68" t="s">
        <v>12</v>
      </c>
      <c r="W68">
        <v>0.18629999999999999</v>
      </c>
      <c r="X68">
        <v>0.17130000000000001</v>
      </c>
      <c r="Y68" t="s">
        <v>13</v>
      </c>
      <c r="Z68">
        <v>0.69650000000000001</v>
      </c>
      <c r="AA68">
        <v>0.52580000000000005</v>
      </c>
    </row>
    <row r="69" spans="1:28" x14ac:dyDescent="0.25">
      <c r="A69" s="8">
        <f t="shared" si="1"/>
        <v>68</v>
      </c>
      <c r="B69" t="s">
        <v>0</v>
      </c>
      <c r="D69" t="s">
        <v>10</v>
      </c>
      <c r="E69" t="s">
        <v>4</v>
      </c>
      <c r="F69" t="s">
        <v>5</v>
      </c>
      <c r="G69" t="s">
        <v>9</v>
      </c>
      <c r="H69" t="s">
        <v>7</v>
      </c>
    </row>
    <row r="70" spans="1:28" x14ac:dyDescent="0.25">
      <c r="A70" s="8">
        <f t="shared" si="1"/>
        <v>69</v>
      </c>
      <c r="B70" t="s">
        <v>0</v>
      </c>
      <c r="D70" t="s">
        <v>6</v>
      </c>
      <c r="E70">
        <v>0.74039999999999995</v>
      </c>
      <c r="F70">
        <v>0.54100000000000004</v>
      </c>
      <c r="G70" t="s">
        <v>3</v>
      </c>
      <c r="H70">
        <v>0.2346</v>
      </c>
      <c r="I70">
        <v>0.20699999999999999</v>
      </c>
      <c r="J70" t="s">
        <v>8</v>
      </c>
      <c r="K70">
        <v>0.7389</v>
      </c>
      <c r="L70">
        <v>0.55200000000000005</v>
      </c>
      <c r="M70" t="s">
        <v>9</v>
      </c>
      <c r="N70">
        <v>0.1086</v>
      </c>
      <c r="O70">
        <v>9.6600000000000005E-2</v>
      </c>
      <c r="P70" t="s">
        <v>10</v>
      </c>
      <c r="Q70">
        <v>0.88660000000000005</v>
      </c>
      <c r="R70">
        <v>0.67100000000000004</v>
      </c>
      <c r="S70" t="s">
        <v>11</v>
      </c>
      <c r="T70">
        <v>0.2301</v>
      </c>
      <c r="U70">
        <v>0.20530000000000001</v>
      </c>
      <c r="V70" t="s">
        <v>12</v>
      </c>
      <c r="W70">
        <v>0.74119999999999997</v>
      </c>
      <c r="X70">
        <v>0.54769999999999996</v>
      </c>
      <c r="Y70" t="s">
        <v>13</v>
      </c>
      <c r="Z70">
        <v>0.23039999999999999</v>
      </c>
      <c r="AA70">
        <v>0.21709999999999999</v>
      </c>
    </row>
    <row r="71" spans="1:28" x14ac:dyDescent="0.25">
      <c r="A71" s="8">
        <f t="shared" si="1"/>
        <v>70</v>
      </c>
      <c r="B71" t="s">
        <v>0</v>
      </c>
      <c r="D71" t="s">
        <v>11</v>
      </c>
      <c r="E71" t="s">
        <v>4</v>
      </c>
      <c r="F71" t="s">
        <v>5</v>
      </c>
      <c r="G71" t="s">
        <v>10</v>
      </c>
      <c r="H71" t="s">
        <v>7</v>
      </c>
    </row>
    <row r="72" spans="1:28" x14ac:dyDescent="0.25">
      <c r="A72" s="8">
        <f t="shared" si="1"/>
        <v>71</v>
      </c>
      <c r="B72" t="s">
        <v>0</v>
      </c>
      <c r="D72" t="s">
        <v>6</v>
      </c>
      <c r="E72">
        <v>0.24110000000000001</v>
      </c>
      <c r="F72">
        <v>0.22500000000000001</v>
      </c>
      <c r="G72" t="s">
        <v>3</v>
      </c>
      <c r="H72">
        <v>0.75560000000000005</v>
      </c>
      <c r="I72">
        <v>0.58579999999999999</v>
      </c>
      <c r="J72" t="s">
        <v>8</v>
      </c>
      <c r="K72">
        <v>0.24429999999999999</v>
      </c>
      <c r="L72">
        <v>0.22409999999999999</v>
      </c>
      <c r="M72" t="s">
        <v>9</v>
      </c>
      <c r="N72">
        <v>0.7571</v>
      </c>
      <c r="O72">
        <v>0.5746</v>
      </c>
      <c r="P72" t="s">
        <v>10</v>
      </c>
      <c r="Q72">
        <v>0.10440000000000001</v>
      </c>
      <c r="R72">
        <v>9.5100000000000004E-2</v>
      </c>
      <c r="S72" t="s">
        <v>11</v>
      </c>
      <c r="T72">
        <v>0.98580000000000001</v>
      </c>
      <c r="U72">
        <v>0.76939999999999997</v>
      </c>
      <c r="V72" t="s">
        <v>12</v>
      </c>
      <c r="W72">
        <v>0.24340000000000001</v>
      </c>
      <c r="X72">
        <v>0.22140000000000001</v>
      </c>
      <c r="Y72" t="s">
        <v>13</v>
      </c>
      <c r="Z72">
        <v>0.75409999999999999</v>
      </c>
      <c r="AA72">
        <v>0.57240000000000002</v>
      </c>
    </row>
    <row r="73" spans="1:28" x14ac:dyDescent="0.25">
      <c r="A73" s="8">
        <f t="shared" si="1"/>
        <v>72</v>
      </c>
      <c r="B73" t="s">
        <v>0</v>
      </c>
      <c r="D73" t="s">
        <v>12</v>
      </c>
      <c r="E73" t="s">
        <v>4</v>
      </c>
      <c r="F73" t="s">
        <v>5</v>
      </c>
      <c r="G73" t="s">
        <v>11</v>
      </c>
      <c r="H73" t="s">
        <v>7</v>
      </c>
      <c r="AB73">
        <v>0.70089999999999997</v>
      </c>
    </row>
    <row r="74" spans="1:28" x14ac:dyDescent="0.25">
      <c r="A74" s="8">
        <f t="shared" si="1"/>
        <v>73</v>
      </c>
      <c r="B74" t="s">
        <v>0</v>
      </c>
      <c r="D74" t="s">
        <v>6</v>
      </c>
      <c r="E74">
        <v>0.85880000000000001</v>
      </c>
      <c r="F74">
        <v>0.64480000000000004</v>
      </c>
      <c r="G74" t="s">
        <v>3</v>
      </c>
      <c r="H74">
        <v>0.34789999999999999</v>
      </c>
      <c r="I74">
        <v>0.308</v>
      </c>
      <c r="J74" t="s">
        <v>8</v>
      </c>
      <c r="K74">
        <v>0.84809999999999997</v>
      </c>
      <c r="L74">
        <v>0.65359999999999996</v>
      </c>
      <c r="M74" t="s">
        <v>9</v>
      </c>
      <c r="N74">
        <v>0.34620000000000001</v>
      </c>
      <c r="O74">
        <v>0.28789999999999999</v>
      </c>
      <c r="P74" t="s">
        <v>10</v>
      </c>
      <c r="Q74">
        <v>0.85440000000000005</v>
      </c>
      <c r="R74">
        <v>0.64929999999999999</v>
      </c>
      <c r="S74" t="s">
        <v>11</v>
      </c>
      <c r="T74">
        <v>0.1057</v>
      </c>
      <c r="U74">
        <v>9.3899999999999997E-2</v>
      </c>
      <c r="V74" t="s">
        <v>12</v>
      </c>
      <c r="W74">
        <v>0.91320000000000001</v>
      </c>
      <c r="X74">
        <v>0.68840000000000001</v>
      </c>
      <c r="Y74" t="s">
        <v>13</v>
      </c>
      <c r="Z74">
        <v>0.34499999999999997</v>
      </c>
      <c r="AA74">
        <v>0.313</v>
      </c>
    </row>
    <row r="75" spans="1:28" x14ac:dyDescent="0.25">
      <c r="A75" s="8">
        <f t="shared" si="1"/>
        <v>74</v>
      </c>
      <c r="B75" t="s">
        <v>0</v>
      </c>
      <c r="D75" t="s">
        <v>13</v>
      </c>
      <c r="E75" t="s">
        <v>4</v>
      </c>
      <c r="F75" t="s">
        <v>5</v>
      </c>
      <c r="G75" t="s">
        <v>12</v>
      </c>
      <c r="H75" t="s">
        <v>7</v>
      </c>
      <c r="AB75">
        <v>0.34320000000000001</v>
      </c>
    </row>
    <row r="76" spans="1:28" x14ac:dyDescent="0.25">
      <c r="A76" s="8">
        <f t="shared" si="1"/>
        <v>75</v>
      </c>
      <c r="B76" t="s">
        <v>0</v>
      </c>
      <c r="D76" t="s">
        <v>6</v>
      </c>
      <c r="E76">
        <v>0.1653</v>
      </c>
      <c r="F76">
        <v>0.16259999999999999</v>
      </c>
      <c r="G76" t="s">
        <v>3</v>
      </c>
      <c r="H76">
        <v>0.68020000000000003</v>
      </c>
      <c r="I76">
        <v>0.50380000000000003</v>
      </c>
      <c r="J76" t="s">
        <v>8</v>
      </c>
      <c r="K76">
        <v>0.1681</v>
      </c>
      <c r="L76">
        <v>0.15279999999999999</v>
      </c>
      <c r="M76" t="s">
        <v>9</v>
      </c>
      <c r="N76">
        <v>0.68110000000000004</v>
      </c>
      <c r="O76">
        <v>0.50649999999999995</v>
      </c>
      <c r="P76" t="s">
        <v>10</v>
      </c>
      <c r="Q76">
        <v>0.1691</v>
      </c>
      <c r="R76">
        <v>0.14149999999999999</v>
      </c>
      <c r="S76" t="s">
        <v>11</v>
      </c>
      <c r="T76">
        <v>0.68100000000000005</v>
      </c>
      <c r="U76">
        <v>0.50519999999999998</v>
      </c>
      <c r="V76" t="s">
        <v>12</v>
      </c>
      <c r="W76">
        <v>0.1053</v>
      </c>
      <c r="X76">
        <v>9.5600000000000004E-2</v>
      </c>
      <c r="Y76" t="s">
        <v>13</v>
      </c>
      <c r="Z76">
        <v>1.0154000000000001</v>
      </c>
      <c r="AA76">
        <v>0.78310000000000002</v>
      </c>
    </row>
    <row r="77" spans="1:28" x14ac:dyDescent="0.25">
      <c r="A77" s="8">
        <f t="shared" si="1"/>
        <v>76</v>
      </c>
      <c r="B77" t="s">
        <v>0</v>
      </c>
      <c r="D77" t="s">
        <v>6</v>
      </c>
      <c r="E77" t="s">
        <v>4</v>
      </c>
      <c r="F77" t="s">
        <v>5</v>
      </c>
      <c r="G77" t="s">
        <v>13</v>
      </c>
      <c r="H77" t="s">
        <v>7</v>
      </c>
      <c r="AB77">
        <v>0.622</v>
      </c>
    </row>
    <row r="78" spans="1:28" x14ac:dyDescent="0.25">
      <c r="A78" s="8">
        <f t="shared" si="1"/>
        <v>77</v>
      </c>
      <c r="B78" t="s">
        <v>0</v>
      </c>
      <c r="D78" t="s">
        <v>6</v>
      </c>
      <c r="E78">
        <v>1.1034999999999999</v>
      </c>
      <c r="F78">
        <v>0.79959999999999998</v>
      </c>
      <c r="G78" t="s">
        <v>3</v>
      </c>
      <c r="H78">
        <v>0.45100000000000001</v>
      </c>
      <c r="I78">
        <v>0.37409999999999999</v>
      </c>
      <c r="J78" t="s">
        <v>8</v>
      </c>
      <c r="K78">
        <v>0.96250000000000002</v>
      </c>
      <c r="L78">
        <v>0.69779999999999998</v>
      </c>
      <c r="M78" t="s">
        <v>9</v>
      </c>
      <c r="N78">
        <v>0.45529999999999998</v>
      </c>
      <c r="O78">
        <v>0.37190000000000001</v>
      </c>
      <c r="P78" t="s">
        <v>10</v>
      </c>
      <c r="Q78">
        <v>0.95930000000000004</v>
      </c>
      <c r="R78">
        <v>0.68989999999999996</v>
      </c>
      <c r="S78" t="s">
        <v>11</v>
      </c>
      <c r="T78">
        <v>0.4572</v>
      </c>
      <c r="U78">
        <v>0.37369999999999998</v>
      </c>
      <c r="V78" t="s">
        <v>12</v>
      </c>
      <c r="W78">
        <v>0.96050000000000002</v>
      </c>
      <c r="X78">
        <v>0.70379999999999998</v>
      </c>
      <c r="Y78" t="s">
        <v>13</v>
      </c>
      <c r="Z78">
        <v>0.10539999999999999</v>
      </c>
      <c r="AA78">
        <v>8.9399999999999993E-2</v>
      </c>
    </row>
    <row r="79" spans="1:28" x14ac:dyDescent="0.25">
      <c r="A79" s="8">
        <f t="shared" si="1"/>
        <v>78</v>
      </c>
    </row>
    <row r="80" spans="1:28" x14ac:dyDescent="0.25">
      <c r="A80" s="8">
        <f t="shared" si="1"/>
        <v>79</v>
      </c>
    </row>
    <row r="81" spans="1:28" x14ac:dyDescent="0.25">
      <c r="A81" s="8">
        <f t="shared" si="1"/>
        <v>80</v>
      </c>
    </row>
    <row r="82" spans="1:28" x14ac:dyDescent="0.25">
      <c r="A82" s="8">
        <f t="shared" si="1"/>
        <v>81</v>
      </c>
      <c r="B82" t="s">
        <v>0</v>
      </c>
      <c r="D82" t="s">
        <v>1</v>
      </c>
      <c r="E82">
        <v>1.5324</v>
      </c>
      <c r="F82">
        <v>1.0790999999999999</v>
      </c>
      <c r="G82" t="s">
        <v>2</v>
      </c>
      <c r="H82">
        <v>0</v>
      </c>
      <c r="I82">
        <v>0</v>
      </c>
      <c r="AB82">
        <v>0.2172</v>
      </c>
    </row>
    <row r="83" spans="1:28" x14ac:dyDescent="0.25">
      <c r="A83" s="8">
        <f t="shared" si="1"/>
        <v>82</v>
      </c>
      <c r="B83" t="s">
        <v>0</v>
      </c>
      <c r="D83" t="s">
        <v>3</v>
      </c>
      <c r="E83" t="s">
        <v>4</v>
      </c>
      <c r="F83" t="s">
        <v>5</v>
      </c>
      <c r="G83" t="s">
        <v>6</v>
      </c>
      <c r="H83" t="s">
        <v>7</v>
      </c>
    </row>
    <row r="84" spans="1:28" x14ac:dyDescent="0.25">
      <c r="A84" s="8">
        <f t="shared" si="1"/>
        <v>83</v>
      </c>
      <c r="B84" t="s">
        <v>0</v>
      </c>
      <c r="D84" t="s">
        <v>6</v>
      </c>
      <c r="E84">
        <v>0.1099</v>
      </c>
      <c r="F84">
        <v>9.6500000000000002E-2</v>
      </c>
      <c r="G84" t="s">
        <v>3</v>
      </c>
      <c r="H84">
        <v>1.0351999999999999</v>
      </c>
      <c r="I84">
        <v>0.8</v>
      </c>
      <c r="J84" t="s">
        <v>8</v>
      </c>
      <c r="K84">
        <v>0.2823</v>
      </c>
      <c r="L84">
        <v>0.25040000000000001</v>
      </c>
      <c r="M84" t="s">
        <v>9</v>
      </c>
      <c r="N84">
        <v>0.79390000000000005</v>
      </c>
      <c r="O84">
        <v>0.59519999999999995</v>
      </c>
      <c r="P84" t="s">
        <v>10</v>
      </c>
      <c r="Q84">
        <v>0.28389999999999999</v>
      </c>
      <c r="R84">
        <v>0.2515</v>
      </c>
      <c r="S84" t="s">
        <v>11</v>
      </c>
      <c r="T84">
        <v>0.79320000000000002</v>
      </c>
      <c r="U84">
        <v>0.59760000000000002</v>
      </c>
      <c r="V84" t="s">
        <v>12</v>
      </c>
      <c r="W84">
        <v>0.2823</v>
      </c>
      <c r="X84">
        <v>0.24990000000000001</v>
      </c>
      <c r="Y84" t="s">
        <v>13</v>
      </c>
      <c r="Z84">
        <v>0.79459999999999997</v>
      </c>
      <c r="AA84">
        <v>0.5968</v>
      </c>
      <c r="AB84">
        <v>0.67810000000000004</v>
      </c>
    </row>
    <row r="85" spans="1:28" x14ac:dyDescent="0.25">
      <c r="A85" s="8">
        <f t="shared" si="1"/>
        <v>84</v>
      </c>
      <c r="B85" t="s">
        <v>0</v>
      </c>
      <c r="D85" t="s">
        <v>8</v>
      </c>
      <c r="E85" t="s">
        <v>4</v>
      </c>
      <c r="F85" t="s">
        <v>5</v>
      </c>
      <c r="G85" t="s">
        <v>3</v>
      </c>
      <c r="H85" t="s">
        <v>7</v>
      </c>
    </row>
    <row r="86" spans="1:28" x14ac:dyDescent="0.25">
      <c r="A86" s="8">
        <f t="shared" si="1"/>
        <v>85</v>
      </c>
      <c r="B86" t="s">
        <v>0</v>
      </c>
      <c r="D86" t="s">
        <v>6</v>
      </c>
      <c r="E86">
        <v>0.87929999999999997</v>
      </c>
      <c r="F86">
        <v>0.6552</v>
      </c>
      <c r="G86" t="s">
        <v>3</v>
      </c>
      <c r="H86">
        <v>0.1082</v>
      </c>
      <c r="I86">
        <v>9.4600000000000004E-2</v>
      </c>
      <c r="J86" t="s">
        <v>8</v>
      </c>
      <c r="K86">
        <v>0.95269999999999999</v>
      </c>
      <c r="L86">
        <v>0.72440000000000004</v>
      </c>
      <c r="M86" t="s">
        <v>9</v>
      </c>
      <c r="N86">
        <v>0.3695</v>
      </c>
      <c r="O86">
        <v>0.32479999999999998</v>
      </c>
      <c r="P86" t="s">
        <v>10</v>
      </c>
      <c r="Q86">
        <v>0.88180000000000003</v>
      </c>
      <c r="R86">
        <v>0.65580000000000005</v>
      </c>
      <c r="S86" t="s">
        <v>11</v>
      </c>
      <c r="T86">
        <v>0.36909999999999998</v>
      </c>
      <c r="U86">
        <v>0.3201</v>
      </c>
      <c r="V86" t="s">
        <v>12</v>
      </c>
      <c r="W86">
        <v>0.87549999999999994</v>
      </c>
      <c r="X86">
        <v>0.65300000000000002</v>
      </c>
      <c r="Y86" t="s">
        <v>13</v>
      </c>
      <c r="Z86">
        <v>0.36699999999999999</v>
      </c>
      <c r="AA86">
        <v>0.33019999999999999</v>
      </c>
      <c r="AB86">
        <v>0.32350000000000001</v>
      </c>
    </row>
    <row r="87" spans="1:28" x14ac:dyDescent="0.25">
      <c r="A87" s="8">
        <f t="shared" si="1"/>
        <v>86</v>
      </c>
      <c r="B87" t="s">
        <v>0</v>
      </c>
      <c r="D87" t="s">
        <v>9</v>
      </c>
      <c r="E87" t="s">
        <v>4</v>
      </c>
      <c r="F87" t="s">
        <v>5</v>
      </c>
      <c r="G87" t="s">
        <v>8</v>
      </c>
      <c r="H87" t="s">
        <v>7</v>
      </c>
    </row>
    <row r="88" spans="1:28" x14ac:dyDescent="0.25">
      <c r="A88" s="8">
        <f t="shared" si="1"/>
        <v>87</v>
      </c>
      <c r="B88" t="s">
        <v>0</v>
      </c>
      <c r="D88" t="s">
        <v>6</v>
      </c>
      <c r="E88">
        <v>0.18870000000000001</v>
      </c>
      <c r="F88">
        <v>0.17499999999999999</v>
      </c>
      <c r="G88" t="s">
        <v>3</v>
      </c>
      <c r="H88">
        <v>0.69489999999999996</v>
      </c>
      <c r="I88">
        <v>0.52959999999999996</v>
      </c>
      <c r="J88" t="s">
        <v>8</v>
      </c>
      <c r="K88">
        <v>0.1101</v>
      </c>
      <c r="L88">
        <v>0.1019</v>
      </c>
      <c r="M88" t="s">
        <v>9</v>
      </c>
      <c r="N88">
        <v>0.82069999999999999</v>
      </c>
      <c r="O88">
        <v>0.63639999999999997</v>
      </c>
      <c r="P88" t="s">
        <v>10</v>
      </c>
      <c r="Q88">
        <v>0.18720000000000001</v>
      </c>
      <c r="R88">
        <v>0.1729</v>
      </c>
      <c r="S88" t="s">
        <v>11</v>
      </c>
      <c r="T88">
        <v>0.69410000000000005</v>
      </c>
      <c r="U88">
        <v>0.52990000000000004</v>
      </c>
      <c r="V88" t="s">
        <v>12</v>
      </c>
      <c r="W88">
        <v>0.18590000000000001</v>
      </c>
      <c r="X88">
        <v>0.1633</v>
      </c>
      <c r="Y88" t="s">
        <v>13</v>
      </c>
      <c r="Z88">
        <v>0.69820000000000004</v>
      </c>
      <c r="AA88">
        <v>0.52829999999999999</v>
      </c>
      <c r="AB88">
        <v>0.89049999999999996</v>
      </c>
    </row>
    <row r="89" spans="1:28" x14ac:dyDescent="0.25">
      <c r="A89" s="8">
        <f t="shared" si="1"/>
        <v>88</v>
      </c>
      <c r="B89" t="s">
        <v>0</v>
      </c>
      <c r="D89" t="s">
        <v>10</v>
      </c>
      <c r="E89" t="s">
        <v>4</v>
      </c>
      <c r="F89" t="s">
        <v>5</v>
      </c>
      <c r="G89" t="s">
        <v>9</v>
      </c>
      <c r="H89" t="s">
        <v>7</v>
      </c>
    </row>
    <row r="90" spans="1:28" x14ac:dyDescent="0.25">
      <c r="A90" s="8">
        <f t="shared" si="1"/>
        <v>89</v>
      </c>
      <c r="B90" t="s">
        <v>0</v>
      </c>
      <c r="D90" t="s">
        <v>6</v>
      </c>
      <c r="E90">
        <v>0.73170000000000002</v>
      </c>
      <c r="F90">
        <v>0.53769999999999996</v>
      </c>
      <c r="G90" t="s">
        <v>3</v>
      </c>
      <c r="H90">
        <v>0.23469999999999999</v>
      </c>
      <c r="I90">
        <v>0.2034</v>
      </c>
      <c r="J90" t="s">
        <v>8</v>
      </c>
      <c r="K90">
        <v>0.7359</v>
      </c>
      <c r="L90">
        <v>0.54820000000000002</v>
      </c>
      <c r="M90" t="s">
        <v>9</v>
      </c>
      <c r="N90">
        <v>0.109</v>
      </c>
      <c r="O90">
        <v>9.5600000000000004E-2</v>
      </c>
      <c r="P90" t="s">
        <v>10</v>
      </c>
      <c r="Q90">
        <v>0.87419999999999998</v>
      </c>
      <c r="R90">
        <v>0.68049999999999999</v>
      </c>
      <c r="S90" t="s">
        <v>11</v>
      </c>
      <c r="T90">
        <v>0.2311</v>
      </c>
      <c r="U90">
        <v>0.20499999999999999</v>
      </c>
      <c r="V90" t="s">
        <v>12</v>
      </c>
      <c r="W90">
        <v>0.73180000000000001</v>
      </c>
      <c r="X90">
        <v>0.56089999999999995</v>
      </c>
      <c r="Y90" t="s">
        <v>13</v>
      </c>
      <c r="Z90">
        <v>0.2291</v>
      </c>
      <c r="AA90">
        <v>0.2238</v>
      </c>
      <c r="AB90">
        <v>9.4200000000000006E-2</v>
      </c>
    </row>
    <row r="91" spans="1:28" x14ac:dyDescent="0.25">
      <c r="A91" s="8">
        <f t="shared" si="1"/>
        <v>90</v>
      </c>
      <c r="B91" t="s">
        <v>0</v>
      </c>
      <c r="D91" t="s">
        <v>11</v>
      </c>
      <c r="E91" t="s">
        <v>4</v>
      </c>
      <c r="F91" t="s">
        <v>5</v>
      </c>
      <c r="G91" t="s">
        <v>10</v>
      </c>
      <c r="H91" t="s">
        <v>7</v>
      </c>
    </row>
    <row r="92" spans="1:28" x14ac:dyDescent="0.25">
      <c r="A92" s="8">
        <f t="shared" si="1"/>
        <v>91</v>
      </c>
      <c r="B92" t="s">
        <v>0</v>
      </c>
      <c r="D92" t="s">
        <v>6</v>
      </c>
      <c r="E92">
        <v>0.2457</v>
      </c>
      <c r="F92">
        <v>0.2215</v>
      </c>
      <c r="G92" t="s">
        <v>3</v>
      </c>
      <c r="H92">
        <v>0.77070000000000005</v>
      </c>
      <c r="I92">
        <v>0.58660000000000001</v>
      </c>
      <c r="J92" t="s">
        <v>8</v>
      </c>
      <c r="K92">
        <v>0.24590000000000001</v>
      </c>
      <c r="L92">
        <v>0.22220000000000001</v>
      </c>
      <c r="M92" t="s">
        <v>9</v>
      </c>
      <c r="N92">
        <v>0.75529999999999997</v>
      </c>
      <c r="O92">
        <v>0.5746</v>
      </c>
      <c r="P92" t="s">
        <v>10</v>
      </c>
      <c r="Q92">
        <v>0.1037</v>
      </c>
      <c r="R92">
        <v>9.6199999999999994E-2</v>
      </c>
      <c r="S92" t="s">
        <v>11</v>
      </c>
      <c r="T92">
        <v>0.98960000000000004</v>
      </c>
      <c r="U92">
        <v>0.77390000000000003</v>
      </c>
      <c r="V92" t="s">
        <v>12</v>
      </c>
      <c r="W92">
        <v>0.24929999999999999</v>
      </c>
      <c r="X92">
        <v>0.22270000000000001</v>
      </c>
      <c r="Y92" t="s">
        <v>13</v>
      </c>
      <c r="Z92">
        <v>0.754</v>
      </c>
      <c r="AA92">
        <v>0.56810000000000005</v>
      </c>
    </row>
    <row r="93" spans="1:28" x14ac:dyDescent="0.25">
      <c r="A93" s="8">
        <f t="shared" si="1"/>
        <v>92</v>
      </c>
      <c r="B93" t="s">
        <v>0</v>
      </c>
      <c r="D93" t="s">
        <v>12</v>
      </c>
      <c r="E93" t="s">
        <v>4</v>
      </c>
      <c r="F93" t="s">
        <v>5</v>
      </c>
      <c r="G93" t="s">
        <v>11</v>
      </c>
      <c r="H93" t="s">
        <v>7</v>
      </c>
    </row>
    <row r="94" spans="1:28" x14ac:dyDescent="0.25">
      <c r="A94" s="8">
        <f t="shared" si="1"/>
        <v>93</v>
      </c>
      <c r="B94" t="s">
        <v>0</v>
      </c>
      <c r="D94" t="s">
        <v>6</v>
      </c>
      <c r="E94">
        <v>0.85980000000000001</v>
      </c>
      <c r="F94">
        <v>0.63</v>
      </c>
      <c r="G94" t="s">
        <v>3</v>
      </c>
      <c r="H94">
        <v>0.34449999999999997</v>
      </c>
      <c r="I94">
        <v>0.29899999999999999</v>
      </c>
      <c r="J94" t="s">
        <v>8</v>
      </c>
      <c r="K94">
        <v>0.85070000000000001</v>
      </c>
      <c r="L94">
        <v>0.63719999999999999</v>
      </c>
      <c r="M94" t="s">
        <v>9</v>
      </c>
      <c r="N94">
        <v>0.34860000000000002</v>
      </c>
      <c r="O94">
        <v>0.30609999999999998</v>
      </c>
      <c r="P94" t="s">
        <v>10</v>
      </c>
      <c r="Q94">
        <v>0.85560000000000003</v>
      </c>
      <c r="R94">
        <v>0.64149999999999996</v>
      </c>
      <c r="S94" t="s">
        <v>11</v>
      </c>
      <c r="T94">
        <v>0.1046</v>
      </c>
      <c r="U94">
        <v>9.1700000000000004E-2</v>
      </c>
      <c r="V94" t="s">
        <v>12</v>
      </c>
      <c r="W94">
        <v>0.91720000000000002</v>
      </c>
      <c r="X94">
        <v>0.6925</v>
      </c>
      <c r="Y94" t="s">
        <v>13</v>
      </c>
      <c r="Z94">
        <v>0.35160000000000002</v>
      </c>
      <c r="AA94">
        <v>0.31730000000000003</v>
      </c>
    </row>
    <row r="95" spans="1:28" x14ac:dyDescent="0.25">
      <c r="A95" s="8">
        <f t="shared" si="1"/>
        <v>94</v>
      </c>
      <c r="B95" t="s">
        <v>0</v>
      </c>
      <c r="D95" t="s">
        <v>13</v>
      </c>
      <c r="E95" t="s">
        <v>4</v>
      </c>
      <c r="F95" t="s">
        <v>5</v>
      </c>
      <c r="G95" t="s">
        <v>12</v>
      </c>
      <c r="H95" t="s">
        <v>7</v>
      </c>
    </row>
    <row r="96" spans="1:28" x14ac:dyDescent="0.25">
      <c r="A96" s="8">
        <f t="shared" si="1"/>
        <v>95</v>
      </c>
      <c r="B96" t="s">
        <v>0</v>
      </c>
      <c r="D96" t="s">
        <v>6</v>
      </c>
      <c r="E96">
        <v>0.1714</v>
      </c>
      <c r="F96">
        <v>0.16200000000000001</v>
      </c>
      <c r="G96" t="s">
        <v>3</v>
      </c>
      <c r="H96">
        <v>0.68230000000000002</v>
      </c>
      <c r="I96">
        <v>0.51170000000000004</v>
      </c>
      <c r="J96" t="s">
        <v>8</v>
      </c>
      <c r="K96">
        <v>0.1673</v>
      </c>
      <c r="L96">
        <v>0.15490000000000001</v>
      </c>
      <c r="M96" t="s">
        <v>9</v>
      </c>
      <c r="N96">
        <v>0.67969999999999997</v>
      </c>
      <c r="O96">
        <v>0.5071</v>
      </c>
      <c r="P96" t="s">
        <v>10</v>
      </c>
      <c r="Q96">
        <v>0.17</v>
      </c>
      <c r="R96">
        <v>0.15290000000000001</v>
      </c>
      <c r="S96" t="s">
        <v>11</v>
      </c>
      <c r="T96">
        <v>0.67789999999999995</v>
      </c>
      <c r="U96">
        <v>0.50680000000000003</v>
      </c>
      <c r="V96" t="s">
        <v>12</v>
      </c>
      <c r="W96">
        <v>0.1032</v>
      </c>
      <c r="X96">
        <v>9.5899999999999999E-2</v>
      </c>
      <c r="Y96" t="s">
        <v>13</v>
      </c>
      <c r="Z96">
        <v>1.0149999999999999</v>
      </c>
      <c r="AA96">
        <v>0.78310000000000002</v>
      </c>
      <c r="AB96">
        <v>0.69740000000000002</v>
      </c>
    </row>
    <row r="97" spans="1:28" x14ac:dyDescent="0.25">
      <c r="A97" s="8">
        <f t="shared" si="1"/>
        <v>96</v>
      </c>
      <c r="B97" t="s">
        <v>0</v>
      </c>
      <c r="D97" t="s">
        <v>6</v>
      </c>
      <c r="E97" t="s">
        <v>4</v>
      </c>
      <c r="F97" t="s">
        <v>5</v>
      </c>
      <c r="G97" t="s">
        <v>13</v>
      </c>
      <c r="H97" t="s">
        <v>7</v>
      </c>
    </row>
    <row r="98" spans="1:28" x14ac:dyDescent="0.25">
      <c r="A98" s="8">
        <f t="shared" si="1"/>
        <v>97</v>
      </c>
      <c r="B98" t="s">
        <v>0</v>
      </c>
      <c r="D98" t="s">
        <v>6</v>
      </c>
      <c r="E98">
        <v>1.1071</v>
      </c>
      <c r="F98">
        <v>0.79749999999999999</v>
      </c>
      <c r="G98" t="s">
        <v>3</v>
      </c>
      <c r="H98">
        <v>0.45669999999999999</v>
      </c>
      <c r="I98">
        <v>0.3775</v>
      </c>
      <c r="J98" t="s">
        <v>8</v>
      </c>
      <c r="K98">
        <v>0.96189999999999998</v>
      </c>
      <c r="L98">
        <v>0.69940000000000002</v>
      </c>
      <c r="M98" t="s">
        <v>9</v>
      </c>
      <c r="N98">
        <v>0.45429999999999998</v>
      </c>
      <c r="O98">
        <v>0.37380000000000002</v>
      </c>
      <c r="P98" t="s">
        <v>10</v>
      </c>
      <c r="Q98">
        <v>0.96530000000000005</v>
      </c>
      <c r="R98">
        <v>0.7006</v>
      </c>
      <c r="S98" t="s">
        <v>11</v>
      </c>
      <c r="T98">
        <v>0.4546</v>
      </c>
      <c r="U98">
        <v>0.3735</v>
      </c>
      <c r="V98" t="s">
        <v>12</v>
      </c>
      <c r="W98">
        <v>0.95950000000000002</v>
      </c>
      <c r="X98">
        <v>0.69820000000000004</v>
      </c>
      <c r="Y98" t="s">
        <v>13</v>
      </c>
      <c r="Z98">
        <v>0.1052</v>
      </c>
      <c r="AA98">
        <v>9.0700000000000003E-2</v>
      </c>
      <c r="AB98">
        <v>0.34510000000000002</v>
      </c>
    </row>
    <row r="99" spans="1:28" x14ac:dyDescent="0.25">
      <c r="A99" s="8">
        <f t="shared" si="1"/>
        <v>98</v>
      </c>
    </row>
    <row r="100" spans="1:28" x14ac:dyDescent="0.25">
      <c r="A100" s="8">
        <f t="shared" si="1"/>
        <v>99</v>
      </c>
    </row>
    <row r="101" spans="1:28" x14ac:dyDescent="0.25">
      <c r="A101" s="8">
        <f t="shared" si="1"/>
        <v>100</v>
      </c>
    </row>
    <row r="102" spans="1:28" x14ac:dyDescent="0.25">
      <c r="A102" s="8">
        <f t="shared" si="1"/>
        <v>101</v>
      </c>
      <c r="B102" t="s">
        <v>0</v>
      </c>
      <c r="D102" t="s">
        <v>1</v>
      </c>
      <c r="E102">
        <v>1.5629999999999999</v>
      </c>
      <c r="F102">
        <v>1.0339</v>
      </c>
      <c r="G102" t="s">
        <v>2</v>
      </c>
      <c r="H102">
        <v>0</v>
      </c>
      <c r="I102">
        <v>0</v>
      </c>
    </row>
    <row r="103" spans="1:28" x14ac:dyDescent="0.25">
      <c r="A103" s="8">
        <f t="shared" si="1"/>
        <v>102</v>
      </c>
      <c r="B103" t="s">
        <v>0</v>
      </c>
      <c r="D103" t="s">
        <v>3</v>
      </c>
      <c r="E103" t="s">
        <v>4</v>
      </c>
      <c r="F103" t="s">
        <v>5</v>
      </c>
      <c r="G103" t="s">
        <v>6</v>
      </c>
      <c r="H103" t="s">
        <v>7</v>
      </c>
      <c r="AB103">
        <v>0.60970000000000002</v>
      </c>
    </row>
    <row r="104" spans="1:28" x14ac:dyDescent="0.25">
      <c r="A104" s="8">
        <f t="shared" si="1"/>
        <v>103</v>
      </c>
      <c r="B104" t="s">
        <v>0</v>
      </c>
      <c r="D104" t="s">
        <v>6</v>
      </c>
      <c r="E104">
        <v>0.1089</v>
      </c>
      <c r="F104">
        <v>0.10390000000000001</v>
      </c>
      <c r="G104" t="s">
        <v>3</v>
      </c>
      <c r="H104">
        <v>1.0386</v>
      </c>
      <c r="I104">
        <v>0.80569999999999997</v>
      </c>
      <c r="J104" t="s">
        <v>8</v>
      </c>
      <c r="K104">
        <v>0.2828</v>
      </c>
      <c r="L104">
        <v>0.24970000000000001</v>
      </c>
      <c r="M104" t="s">
        <v>9</v>
      </c>
      <c r="N104">
        <v>0.79530000000000001</v>
      </c>
      <c r="O104">
        <v>0.60029999999999994</v>
      </c>
      <c r="P104" t="s">
        <v>10</v>
      </c>
      <c r="Q104">
        <v>0.2858</v>
      </c>
      <c r="R104">
        <v>0.25140000000000001</v>
      </c>
      <c r="S104" t="s">
        <v>11</v>
      </c>
      <c r="T104">
        <v>0.79369999999999996</v>
      </c>
      <c r="U104">
        <v>0.59719999999999995</v>
      </c>
      <c r="V104" t="s">
        <v>12</v>
      </c>
      <c r="W104">
        <v>0.28339999999999999</v>
      </c>
      <c r="X104">
        <v>0.248</v>
      </c>
      <c r="Y104" t="s">
        <v>13</v>
      </c>
      <c r="Z104">
        <v>0.79249999999999998</v>
      </c>
      <c r="AA104">
        <v>0.5968</v>
      </c>
    </row>
    <row r="105" spans="1:28" x14ac:dyDescent="0.25">
      <c r="A105" s="8">
        <f t="shared" si="1"/>
        <v>104</v>
      </c>
      <c r="B105" t="s">
        <v>0</v>
      </c>
      <c r="D105" t="s">
        <v>8</v>
      </c>
      <c r="E105" t="s">
        <v>4</v>
      </c>
      <c r="F105" t="s">
        <v>5</v>
      </c>
      <c r="G105" t="s">
        <v>3</v>
      </c>
      <c r="H105" t="s">
        <v>7</v>
      </c>
      <c r="AB105">
        <v>0.21840000000000001</v>
      </c>
    </row>
    <row r="106" spans="1:28" x14ac:dyDescent="0.25">
      <c r="A106" s="8">
        <f t="shared" si="1"/>
        <v>105</v>
      </c>
      <c r="B106" t="s">
        <v>0</v>
      </c>
      <c r="D106" t="s">
        <v>6</v>
      </c>
      <c r="E106">
        <v>0.88</v>
      </c>
      <c r="F106">
        <v>0.65980000000000005</v>
      </c>
      <c r="G106" t="s">
        <v>3</v>
      </c>
      <c r="H106">
        <v>0.1077</v>
      </c>
      <c r="I106">
        <v>9.4299999999999995E-2</v>
      </c>
      <c r="J106" t="s">
        <v>8</v>
      </c>
      <c r="K106">
        <v>0.95089999999999997</v>
      </c>
      <c r="L106">
        <v>0.72109999999999996</v>
      </c>
      <c r="M106" t="s">
        <v>9</v>
      </c>
      <c r="N106">
        <v>0.3695</v>
      </c>
      <c r="O106">
        <v>0.32300000000000001</v>
      </c>
      <c r="P106" t="s">
        <v>10</v>
      </c>
      <c r="Q106">
        <v>0.88219999999999998</v>
      </c>
      <c r="R106">
        <v>0.66180000000000005</v>
      </c>
      <c r="S106" t="s">
        <v>11</v>
      </c>
      <c r="T106">
        <v>0.37259999999999999</v>
      </c>
      <c r="U106">
        <v>0.32129999999999997</v>
      </c>
      <c r="V106" t="s">
        <v>12</v>
      </c>
      <c r="W106">
        <v>0.878</v>
      </c>
      <c r="X106">
        <v>0.66049999999999998</v>
      </c>
      <c r="Y106" t="s">
        <v>13</v>
      </c>
      <c r="Z106">
        <v>0.37230000000000002</v>
      </c>
      <c r="AA106">
        <v>0.33310000000000001</v>
      </c>
    </row>
    <row r="107" spans="1:28" x14ac:dyDescent="0.25">
      <c r="A107" s="8">
        <f t="shared" si="1"/>
        <v>106</v>
      </c>
      <c r="B107" t="s">
        <v>0</v>
      </c>
      <c r="D107" t="s">
        <v>9</v>
      </c>
      <c r="E107" t="s">
        <v>4</v>
      </c>
      <c r="F107" t="s">
        <v>5</v>
      </c>
      <c r="G107" t="s">
        <v>8</v>
      </c>
      <c r="H107" t="s">
        <v>7</v>
      </c>
      <c r="AB107">
        <v>0.66510000000000002</v>
      </c>
    </row>
    <row r="108" spans="1:28" x14ac:dyDescent="0.25">
      <c r="A108" s="8">
        <f t="shared" si="1"/>
        <v>107</v>
      </c>
      <c r="B108" t="s">
        <v>0</v>
      </c>
      <c r="D108" t="s">
        <v>6</v>
      </c>
      <c r="E108">
        <v>0.18590000000000001</v>
      </c>
      <c r="F108">
        <v>0.1784</v>
      </c>
      <c r="G108" t="s">
        <v>3</v>
      </c>
      <c r="H108">
        <v>0.69530000000000003</v>
      </c>
      <c r="I108">
        <v>0.53049999999999997</v>
      </c>
      <c r="J108" t="s">
        <v>8</v>
      </c>
      <c r="K108">
        <v>0.1081</v>
      </c>
      <c r="L108">
        <v>9.9199999999999997E-2</v>
      </c>
      <c r="M108" t="s">
        <v>9</v>
      </c>
      <c r="N108">
        <v>0.82130000000000003</v>
      </c>
      <c r="O108">
        <v>0.63890000000000002</v>
      </c>
      <c r="P108" t="s">
        <v>10</v>
      </c>
      <c r="Q108">
        <v>0.1867</v>
      </c>
      <c r="R108">
        <v>0.1678</v>
      </c>
      <c r="S108" t="s">
        <v>11</v>
      </c>
      <c r="T108">
        <v>0.70389999999999997</v>
      </c>
      <c r="U108">
        <v>0.53490000000000004</v>
      </c>
      <c r="V108" t="s">
        <v>12</v>
      </c>
      <c r="W108">
        <v>0.18659999999999999</v>
      </c>
      <c r="X108">
        <v>0.16850000000000001</v>
      </c>
      <c r="Y108" t="s">
        <v>13</v>
      </c>
      <c r="Z108">
        <v>0.69730000000000003</v>
      </c>
      <c r="AA108">
        <v>0.52480000000000004</v>
      </c>
    </row>
    <row r="109" spans="1:28" x14ac:dyDescent="0.25">
      <c r="A109" s="8">
        <f t="shared" si="1"/>
        <v>108</v>
      </c>
      <c r="B109" t="s">
        <v>0</v>
      </c>
      <c r="D109" t="s">
        <v>10</v>
      </c>
      <c r="E109" t="s">
        <v>4</v>
      </c>
      <c r="F109" t="s">
        <v>5</v>
      </c>
      <c r="G109" t="s">
        <v>9</v>
      </c>
      <c r="H109" t="s">
        <v>7</v>
      </c>
      <c r="AB109">
        <v>0.32540000000000002</v>
      </c>
    </row>
    <row r="110" spans="1:28" x14ac:dyDescent="0.25">
      <c r="A110" s="8">
        <f t="shared" si="1"/>
        <v>109</v>
      </c>
      <c r="B110" t="s">
        <v>0</v>
      </c>
      <c r="D110" t="s">
        <v>6</v>
      </c>
      <c r="E110">
        <v>0.73850000000000005</v>
      </c>
      <c r="F110">
        <v>0.54039999999999999</v>
      </c>
      <c r="G110" t="s">
        <v>3</v>
      </c>
      <c r="H110">
        <v>0.2382</v>
      </c>
      <c r="I110">
        <v>0.20880000000000001</v>
      </c>
      <c r="J110" t="s">
        <v>8</v>
      </c>
      <c r="K110">
        <v>0.73950000000000005</v>
      </c>
      <c r="L110">
        <v>0.5544</v>
      </c>
      <c r="M110" t="s">
        <v>9</v>
      </c>
      <c r="N110">
        <v>0.10970000000000001</v>
      </c>
      <c r="O110">
        <v>9.74E-2</v>
      </c>
      <c r="P110" t="s">
        <v>10</v>
      </c>
      <c r="Q110">
        <v>0.87329999999999997</v>
      </c>
      <c r="R110">
        <v>0.67949999999999999</v>
      </c>
      <c r="S110" t="s">
        <v>11</v>
      </c>
      <c r="T110">
        <v>0.23019999999999999</v>
      </c>
      <c r="U110">
        <v>0.21060000000000001</v>
      </c>
      <c r="V110" t="s">
        <v>12</v>
      </c>
      <c r="W110">
        <v>0.74160000000000004</v>
      </c>
      <c r="X110">
        <v>0.56859999999999999</v>
      </c>
      <c r="Y110" t="s">
        <v>13</v>
      </c>
      <c r="Z110">
        <v>0.2369</v>
      </c>
      <c r="AA110">
        <v>0.223</v>
      </c>
    </row>
    <row r="111" spans="1:28" x14ac:dyDescent="0.25">
      <c r="A111" s="8">
        <f t="shared" si="1"/>
        <v>110</v>
      </c>
      <c r="B111" t="s">
        <v>0</v>
      </c>
      <c r="D111" t="s">
        <v>11</v>
      </c>
      <c r="E111" t="s">
        <v>4</v>
      </c>
      <c r="F111" t="s">
        <v>5</v>
      </c>
      <c r="G111" t="s">
        <v>10</v>
      </c>
      <c r="H111" t="s">
        <v>7</v>
      </c>
      <c r="AB111">
        <v>0.88919999999999999</v>
      </c>
    </row>
    <row r="112" spans="1:28" x14ac:dyDescent="0.25">
      <c r="A112" s="8">
        <f t="shared" si="1"/>
        <v>111</v>
      </c>
      <c r="B112" t="s">
        <v>0</v>
      </c>
      <c r="D112" t="s">
        <v>6</v>
      </c>
      <c r="E112">
        <v>0.24840000000000001</v>
      </c>
      <c r="F112">
        <v>0.22700000000000001</v>
      </c>
      <c r="G112" t="s">
        <v>3</v>
      </c>
      <c r="H112">
        <v>0.75680000000000003</v>
      </c>
      <c r="I112">
        <v>0.57699999999999996</v>
      </c>
      <c r="J112" t="s">
        <v>8</v>
      </c>
      <c r="K112">
        <v>0.24529999999999999</v>
      </c>
      <c r="L112">
        <v>0.21879999999999999</v>
      </c>
      <c r="M112" t="s">
        <v>9</v>
      </c>
      <c r="N112">
        <v>0.75739999999999996</v>
      </c>
      <c r="O112">
        <v>0.57620000000000005</v>
      </c>
      <c r="P112" t="s">
        <v>10</v>
      </c>
      <c r="Q112">
        <v>0.1048</v>
      </c>
      <c r="R112">
        <v>0.1026</v>
      </c>
      <c r="S112" t="s">
        <v>11</v>
      </c>
      <c r="T112">
        <v>0.99070000000000003</v>
      </c>
      <c r="U112">
        <v>0.79</v>
      </c>
      <c r="V112" t="s">
        <v>12</v>
      </c>
      <c r="W112">
        <v>0.2429</v>
      </c>
      <c r="X112">
        <v>0.22789999999999999</v>
      </c>
      <c r="Y112" t="s">
        <v>13</v>
      </c>
      <c r="Z112">
        <v>0.75580000000000003</v>
      </c>
      <c r="AA112">
        <v>0.5736</v>
      </c>
    </row>
    <row r="113" spans="1:28" x14ac:dyDescent="0.25">
      <c r="A113" s="8">
        <f t="shared" si="1"/>
        <v>112</v>
      </c>
      <c r="B113" t="s">
        <v>0</v>
      </c>
      <c r="D113" t="s">
        <v>12</v>
      </c>
      <c r="E113" t="s">
        <v>4</v>
      </c>
      <c r="F113" t="s">
        <v>5</v>
      </c>
      <c r="G113" t="s">
        <v>11</v>
      </c>
      <c r="H113" t="s">
        <v>7</v>
      </c>
      <c r="AB113">
        <v>9.4100000000000003E-2</v>
      </c>
    </row>
    <row r="114" spans="1:28" x14ac:dyDescent="0.25">
      <c r="A114" s="8">
        <f t="shared" si="1"/>
        <v>113</v>
      </c>
      <c r="B114" t="s">
        <v>0</v>
      </c>
      <c r="D114" t="s">
        <v>6</v>
      </c>
      <c r="E114">
        <v>0.85880000000000001</v>
      </c>
      <c r="F114">
        <v>0.65359999999999996</v>
      </c>
      <c r="G114" t="s">
        <v>3</v>
      </c>
      <c r="H114">
        <v>0.34639999999999999</v>
      </c>
      <c r="I114">
        <v>0.30359999999999998</v>
      </c>
      <c r="J114" t="s">
        <v>8</v>
      </c>
      <c r="K114">
        <v>0.85370000000000001</v>
      </c>
      <c r="L114">
        <v>0.63549999999999995</v>
      </c>
      <c r="M114" t="s">
        <v>9</v>
      </c>
      <c r="N114">
        <v>0.34649999999999997</v>
      </c>
      <c r="O114">
        <v>0.3044</v>
      </c>
      <c r="P114" t="s">
        <v>10</v>
      </c>
      <c r="Q114">
        <v>0.85750000000000004</v>
      </c>
      <c r="R114">
        <v>0.63980000000000004</v>
      </c>
      <c r="S114" t="s">
        <v>11</v>
      </c>
      <c r="T114">
        <v>0.10440000000000001</v>
      </c>
      <c r="U114">
        <v>9.2299999999999993E-2</v>
      </c>
      <c r="V114" t="s">
        <v>12</v>
      </c>
      <c r="W114">
        <v>0.9163</v>
      </c>
      <c r="X114">
        <v>0.69030000000000002</v>
      </c>
      <c r="Y114" t="s">
        <v>13</v>
      </c>
      <c r="Z114">
        <v>0.34589999999999999</v>
      </c>
      <c r="AA114">
        <v>0.31640000000000001</v>
      </c>
    </row>
    <row r="115" spans="1:28" x14ac:dyDescent="0.25">
      <c r="A115" s="8">
        <f t="shared" si="1"/>
        <v>114</v>
      </c>
      <c r="B115" t="s">
        <v>0</v>
      </c>
      <c r="D115" t="s">
        <v>13</v>
      </c>
      <c r="E115" t="s">
        <v>4</v>
      </c>
      <c r="F115" t="s">
        <v>5</v>
      </c>
      <c r="G115" t="s">
        <v>12</v>
      </c>
      <c r="H115" t="s">
        <v>7</v>
      </c>
    </row>
    <row r="116" spans="1:28" x14ac:dyDescent="0.25">
      <c r="A116" s="8">
        <f t="shared" si="1"/>
        <v>115</v>
      </c>
      <c r="B116" t="s">
        <v>0</v>
      </c>
      <c r="D116" t="s">
        <v>6</v>
      </c>
      <c r="E116">
        <v>0.1691</v>
      </c>
      <c r="F116">
        <v>0.14879999999999999</v>
      </c>
      <c r="G116" t="s">
        <v>3</v>
      </c>
      <c r="H116">
        <v>0.6794</v>
      </c>
      <c r="I116">
        <v>0.50509999999999999</v>
      </c>
      <c r="J116" t="s">
        <v>8</v>
      </c>
      <c r="K116">
        <v>0.1663</v>
      </c>
      <c r="L116">
        <v>0.15240000000000001</v>
      </c>
      <c r="M116" t="s">
        <v>9</v>
      </c>
      <c r="N116">
        <v>0.68030000000000002</v>
      </c>
      <c r="O116">
        <v>0.50570000000000004</v>
      </c>
      <c r="P116" t="s">
        <v>10</v>
      </c>
      <c r="Q116">
        <v>0.16950000000000001</v>
      </c>
      <c r="R116">
        <v>0.15260000000000001</v>
      </c>
      <c r="S116" t="s">
        <v>11</v>
      </c>
      <c r="T116">
        <v>0.67900000000000005</v>
      </c>
      <c r="U116">
        <v>0.50339999999999996</v>
      </c>
      <c r="V116" t="s">
        <v>12</v>
      </c>
      <c r="W116">
        <v>0.1045</v>
      </c>
      <c r="X116">
        <v>9.6699999999999994E-2</v>
      </c>
      <c r="Y116" t="s">
        <v>13</v>
      </c>
      <c r="Z116">
        <v>1.0157</v>
      </c>
      <c r="AA116">
        <v>0.7833</v>
      </c>
      <c r="AB116">
        <v>0.69669999999999999</v>
      </c>
    </row>
    <row r="117" spans="1:28" x14ac:dyDescent="0.25">
      <c r="A117" s="8">
        <f t="shared" si="1"/>
        <v>116</v>
      </c>
      <c r="B117" t="s">
        <v>0</v>
      </c>
      <c r="D117" t="s">
        <v>6</v>
      </c>
      <c r="E117" t="s">
        <v>4</v>
      </c>
      <c r="F117" t="s">
        <v>5</v>
      </c>
      <c r="G117" t="s">
        <v>13</v>
      </c>
      <c r="H117" t="s">
        <v>7</v>
      </c>
    </row>
    <row r="118" spans="1:28" x14ac:dyDescent="0.25">
      <c r="A118" s="8">
        <f t="shared" si="1"/>
        <v>117</v>
      </c>
      <c r="B118" t="s">
        <v>0</v>
      </c>
      <c r="D118" t="s">
        <v>6</v>
      </c>
      <c r="E118">
        <v>1.0794999999999999</v>
      </c>
      <c r="F118">
        <v>0.79820000000000002</v>
      </c>
      <c r="G118" t="s">
        <v>3</v>
      </c>
      <c r="H118">
        <v>0.45369999999999999</v>
      </c>
      <c r="I118">
        <v>0.37590000000000001</v>
      </c>
      <c r="J118" t="s">
        <v>8</v>
      </c>
      <c r="K118">
        <v>0.95530000000000004</v>
      </c>
      <c r="L118">
        <v>0.69550000000000001</v>
      </c>
      <c r="M118" t="s">
        <v>9</v>
      </c>
      <c r="N118">
        <v>0.45610000000000001</v>
      </c>
      <c r="O118">
        <v>0.38200000000000001</v>
      </c>
      <c r="P118" t="s">
        <v>10</v>
      </c>
      <c r="Q118">
        <v>0.9617</v>
      </c>
      <c r="R118">
        <v>0.69579999999999997</v>
      </c>
      <c r="S118" t="s">
        <v>11</v>
      </c>
      <c r="T118">
        <v>0.45729999999999998</v>
      </c>
      <c r="U118">
        <v>0.36899999999999999</v>
      </c>
      <c r="V118" t="s">
        <v>12</v>
      </c>
      <c r="W118">
        <v>0.9617</v>
      </c>
      <c r="X118">
        <v>0.69710000000000005</v>
      </c>
      <c r="Y118" t="s">
        <v>13</v>
      </c>
      <c r="Z118">
        <v>0.1046</v>
      </c>
      <c r="AA118">
        <v>8.8499999999999995E-2</v>
      </c>
      <c r="AB118">
        <v>0.34449999999999997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1F979-8581-4301-BD2A-AAB14BA7A044}">
  <dimension ref="A1:AL107"/>
  <sheetViews>
    <sheetView tabSelected="1" topLeftCell="I73" workbookViewId="0">
      <selection activeCell="AF97" sqref="AF97"/>
    </sheetView>
  </sheetViews>
  <sheetFormatPr defaultRowHeight="15" x14ac:dyDescent="0.25"/>
  <cols>
    <col min="1" max="1" width="14.42578125" bestFit="1" customWidth="1"/>
    <col min="6" max="6" width="9.5703125" bestFit="1" customWidth="1"/>
  </cols>
  <sheetData>
    <row r="1" spans="1:38" x14ac:dyDescent="0.25">
      <c r="A1" s="11" t="s">
        <v>14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 spans="1:38" x14ac:dyDescent="0.25">
      <c r="B2" cm="1">
        <f t="array" ref="B2:AC6">_xlfn._xlws.FILTER('Dado Bruto'!A:AB, ('Dado Bruto'!A:A=1) + ('Dado Bruto'!A:A=21) + ('Dado Bruto'!A:A=41)+ ('Dado Bruto'!A:A=61)+ ('Dado Bruto'!A:A=81), "Não encontrado")</f>
        <v>1</v>
      </c>
      <c r="C2" t="str">
        <v>-&gt;</v>
      </c>
      <c r="D2">
        <v>0</v>
      </c>
      <c r="E2" t="str">
        <v>E91</v>
      </c>
      <c r="F2">
        <v>1.5264</v>
      </c>
      <c r="G2">
        <v>1.0866</v>
      </c>
      <c r="H2" t="str">
        <v>E92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38" x14ac:dyDescent="0.25">
      <c r="B3">
        <v>21</v>
      </c>
      <c r="C3" t="str">
        <v>-&gt;</v>
      </c>
      <c r="D3">
        <v>0</v>
      </c>
      <c r="E3" t="str">
        <v>E91</v>
      </c>
      <c r="F3">
        <v>1.5277000000000001</v>
      </c>
      <c r="G3">
        <v>1.0573999999999999</v>
      </c>
      <c r="H3" t="str">
        <v>E92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38" x14ac:dyDescent="0.25">
      <c r="B4">
        <v>41</v>
      </c>
      <c r="C4" t="str">
        <v>-&gt;</v>
      </c>
      <c r="D4">
        <v>0</v>
      </c>
      <c r="E4" t="str">
        <v>E91</v>
      </c>
      <c r="F4">
        <v>1.5607</v>
      </c>
      <c r="G4">
        <v>1.0448999999999999</v>
      </c>
      <c r="H4" t="str">
        <v>E92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0.88490000000000002</v>
      </c>
    </row>
    <row r="5" spans="1:38" x14ac:dyDescent="0.25">
      <c r="B5">
        <v>61</v>
      </c>
      <c r="C5" t="str">
        <v>-&gt;</v>
      </c>
      <c r="D5">
        <v>0</v>
      </c>
      <c r="E5" t="str">
        <v>E91</v>
      </c>
      <c r="F5">
        <v>1.5638000000000001</v>
      </c>
      <c r="G5">
        <v>1.038</v>
      </c>
      <c r="H5" t="str">
        <v>E92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38" x14ac:dyDescent="0.25">
      <c r="B6">
        <v>81</v>
      </c>
      <c r="C6" t="str">
        <v>-&gt;</v>
      </c>
      <c r="D6">
        <v>0</v>
      </c>
      <c r="E6" t="str">
        <v>E91</v>
      </c>
      <c r="F6">
        <v>1.5324</v>
      </c>
      <c r="G6">
        <v>1.0790999999999999</v>
      </c>
      <c r="H6" t="str">
        <v>E92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0.2172</v>
      </c>
    </row>
    <row r="7" spans="1:38" x14ac:dyDescent="0.25">
      <c r="A7" t="s">
        <v>23</v>
      </c>
      <c r="F7">
        <f>AVERAGE(F2:F6)</f>
        <v>1.5421999999999998</v>
      </c>
      <c r="G7">
        <f>AVERAGE(G2:G6)</f>
        <v>1.0612000000000001</v>
      </c>
    </row>
    <row r="8" spans="1:38" s="4" customFormat="1" x14ac:dyDescent="0.25">
      <c r="A8" s="4" t="s">
        <v>25</v>
      </c>
      <c r="F8" s="4">
        <f>_xlfn.STDEV.P(F2:F6)</f>
        <v>1.6521137975333309E-2</v>
      </c>
      <c r="G8" s="4">
        <f>_xlfn.STDEV.P(G2:G6)</f>
        <v>1.8888832679654927E-2</v>
      </c>
    </row>
    <row r="9" spans="1:38" s="4" customFormat="1" x14ac:dyDescent="0.25">
      <c r="A9" s="4" t="s">
        <v>26</v>
      </c>
      <c r="F9" s="1">
        <f>20*LOG10(F7/F8)</f>
        <v>39.402014811747897</v>
      </c>
      <c r="G9" s="1">
        <f>20*LOG10(G7/G8)</f>
        <v>34.991842434787813</v>
      </c>
    </row>
    <row r="10" spans="1:38" s="4" customFormat="1" x14ac:dyDescent="0.25">
      <c r="A10" s="4" t="s">
        <v>24</v>
      </c>
      <c r="F10" s="6">
        <f>(0.000528)*2*1000</f>
        <v>1.056</v>
      </c>
      <c r="G10" s="6">
        <f>(0.0005259)*2*1000</f>
        <v>1.0518000000000001</v>
      </c>
    </row>
    <row r="11" spans="1:38" s="4" customFormat="1" x14ac:dyDescent="0.25">
      <c r="A11" s="4" t="s">
        <v>30</v>
      </c>
      <c r="F11" s="5">
        <f>1- ((+F7-F10)/F10)</f>
        <v>0.53958333333333353</v>
      </c>
      <c r="G11" s="5">
        <f>1- ((G7-G10)/G10)</f>
        <v>0.99106293972238058</v>
      </c>
    </row>
    <row r="12" spans="1:38" s="4" customFormat="1" x14ac:dyDescent="0.25">
      <c r="F12" s="1"/>
      <c r="G12" s="1"/>
    </row>
    <row r="13" spans="1:38" x14ac:dyDescent="0.25">
      <c r="A13" s="11" t="s">
        <v>15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</row>
    <row r="14" spans="1:38" x14ac:dyDescent="0.25">
      <c r="B14" cm="1">
        <f t="array" ref="B14:AC18">_xlfn._xlws.FILTER('Dado Bruto'!A:AB, ('Dado Bruto'!A:A=3) + ('Dado Bruto'!A:A=23) + ('Dado Bruto'!A:A=43)+ ('Dado Bruto'!A:A=63)+ ('Dado Bruto'!A:A=83), "Não encontrado")</f>
        <v>3</v>
      </c>
      <c r="C14" t="str">
        <v>-&gt;</v>
      </c>
      <c r="D14">
        <v>0</v>
      </c>
      <c r="E14" t="str">
        <v>E0</v>
      </c>
      <c r="F14">
        <v>0.1079</v>
      </c>
      <c r="G14">
        <v>9.8400000000000001E-2</v>
      </c>
      <c r="H14" t="str">
        <v>E1</v>
      </c>
      <c r="I14">
        <v>1.0379</v>
      </c>
      <c r="J14">
        <v>0.80640000000000001</v>
      </c>
      <c r="K14" t="str">
        <v>E2</v>
      </c>
      <c r="L14">
        <v>0.28120000000000001</v>
      </c>
      <c r="M14">
        <v>0.247</v>
      </c>
      <c r="N14" t="str">
        <v>E3</v>
      </c>
      <c r="O14">
        <v>0.79710000000000003</v>
      </c>
      <c r="P14">
        <v>0.5988</v>
      </c>
      <c r="Q14" t="str">
        <v>E4</v>
      </c>
      <c r="R14">
        <v>0.28389999999999999</v>
      </c>
      <c r="S14">
        <v>0.2535</v>
      </c>
      <c r="T14" t="str">
        <v>E5</v>
      </c>
      <c r="U14">
        <v>0.79330000000000001</v>
      </c>
      <c r="V14">
        <v>0.59589999999999999</v>
      </c>
      <c r="W14" t="str">
        <v>E6</v>
      </c>
      <c r="X14">
        <v>0.28370000000000001</v>
      </c>
      <c r="Y14">
        <v>0.24379999999999999</v>
      </c>
      <c r="Z14" t="str">
        <v>E7</v>
      </c>
      <c r="AA14">
        <v>0.79220000000000002</v>
      </c>
      <c r="AB14">
        <v>0.59540000000000004</v>
      </c>
      <c r="AC14">
        <v>0.7</v>
      </c>
      <c r="AD14" t="s">
        <v>27</v>
      </c>
      <c r="AE14" t="s">
        <v>29</v>
      </c>
      <c r="AF14" t="s">
        <v>27</v>
      </c>
      <c r="AG14" t="s">
        <v>29</v>
      </c>
      <c r="AI14" t="s">
        <v>28</v>
      </c>
      <c r="AJ14" t="s">
        <v>29</v>
      </c>
      <c r="AK14" t="s">
        <v>28</v>
      </c>
      <c r="AL14" t="s">
        <v>29</v>
      </c>
    </row>
    <row r="15" spans="1:38" x14ac:dyDescent="0.25">
      <c r="B15">
        <v>23</v>
      </c>
      <c r="C15" t="str">
        <v>-&gt;</v>
      </c>
      <c r="D15">
        <v>0</v>
      </c>
      <c r="E15" t="str">
        <v>E0</v>
      </c>
      <c r="F15">
        <v>0.1072</v>
      </c>
      <c r="G15">
        <v>9.3600000000000003E-2</v>
      </c>
      <c r="H15" t="str">
        <v>E1</v>
      </c>
      <c r="I15">
        <v>1.0344</v>
      </c>
      <c r="J15">
        <v>0.7984</v>
      </c>
      <c r="K15" t="str">
        <v>E2</v>
      </c>
      <c r="L15">
        <v>0.28050000000000003</v>
      </c>
      <c r="M15">
        <v>0.24660000000000001</v>
      </c>
      <c r="N15" t="str">
        <v>E3</v>
      </c>
      <c r="O15">
        <v>0.79569999999999996</v>
      </c>
      <c r="P15">
        <v>0.59899999999999998</v>
      </c>
      <c r="Q15" t="str">
        <v>E4</v>
      </c>
      <c r="R15">
        <v>0.28339999999999999</v>
      </c>
      <c r="S15">
        <v>0.24940000000000001</v>
      </c>
      <c r="T15" t="str">
        <v>E5</v>
      </c>
      <c r="U15">
        <v>0.79259999999999997</v>
      </c>
      <c r="V15">
        <v>0.59709999999999996</v>
      </c>
      <c r="W15" t="str">
        <v>E6</v>
      </c>
      <c r="X15">
        <v>0.2828</v>
      </c>
      <c r="Y15">
        <v>0.24970000000000001</v>
      </c>
      <c r="Z15" t="str">
        <v>E7</v>
      </c>
      <c r="AA15">
        <v>0.79330000000000001</v>
      </c>
      <c r="AB15">
        <v>0.59499999999999997</v>
      </c>
      <c r="AC15">
        <v>0</v>
      </c>
      <c r="AD15">
        <f>AVERAGE(L15,R15,X15)</f>
        <v>0.28223333333333334</v>
      </c>
      <c r="AF15">
        <f>AVERAGE(M15,S15,Y15)</f>
        <v>0.24856666666666669</v>
      </c>
    </row>
    <row r="16" spans="1:38" x14ac:dyDescent="0.25">
      <c r="B16">
        <v>43</v>
      </c>
      <c r="C16" t="str">
        <v>-&gt;</v>
      </c>
      <c r="D16">
        <v>0</v>
      </c>
      <c r="E16" t="str">
        <v>E0</v>
      </c>
      <c r="F16">
        <v>0.108</v>
      </c>
      <c r="G16">
        <v>0.1032</v>
      </c>
      <c r="H16" t="str">
        <v>E1</v>
      </c>
      <c r="I16">
        <v>1.0354000000000001</v>
      </c>
      <c r="J16">
        <v>0.79879999999999995</v>
      </c>
      <c r="K16" t="str">
        <v>E2</v>
      </c>
      <c r="L16">
        <v>0.27839999999999998</v>
      </c>
      <c r="M16">
        <v>0.24879999999999999</v>
      </c>
      <c r="N16" t="str">
        <v>E3</v>
      </c>
      <c r="O16">
        <v>0.79210000000000003</v>
      </c>
      <c r="P16">
        <v>0.59630000000000005</v>
      </c>
      <c r="Q16" t="str">
        <v>E4</v>
      </c>
      <c r="R16">
        <v>0.28299999999999997</v>
      </c>
      <c r="S16">
        <v>0.252</v>
      </c>
      <c r="T16" t="str">
        <v>E5</v>
      </c>
      <c r="U16">
        <v>0.79300000000000004</v>
      </c>
      <c r="V16">
        <v>0.60040000000000004</v>
      </c>
      <c r="W16" t="str">
        <v>E6</v>
      </c>
      <c r="X16">
        <v>0.28320000000000001</v>
      </c>
      <c r="Y16">
        <v>0.2457</v>
      </c>
      <c r="Z16" t="str">
        <v>E7</v>
      </c>
      <c r="AA16">
        <v>0.79279999999999995</v>
      </c>
      <c r="AB16">
        <v>0.5958</v>
      </c>
      <c r="AC16">
        <v>9.1800000000000007E-2</v>
      </c>
      <c r="AD16">
        <f t="shared" ref="AD16:AD19" si="0">AVERAGE(L16,R16,X16)</f>
        <v>0.2815333333333333</v>
      </c>
      <c r="AF16">
        <f t="shared" ref="AF16:AF19" si="1">AVERAGE(M16,S16,Y16)</f>
        <v>0.24883333333333335</v>
      </c>
    </row>
    <row r="17" spans="1:32" x14ac:dyDescent="0.25">
      <c r="B17">
        <v>63</v>
      </c>
      <c r="C17" t="str">
        <v>-&gt;</v>
      </c>
      <c r="D17">
        <v>0</v>
      </c>
      <c r="E17" t="str">
        <v>E0</v>
      </c>
      <c r="F17">
        <v>0.10780000000000001</v>
      </c>
      <c r="G17">
        <v>9.8400000000000001E-2</v>
      </c>
      <c r="H17" t="str">
        <v>E1</v>
      </c>
      <c r="I17">
        <v>1.0388999999999999</v>
      </c>
      <c r="J17">
        <v>0.80910000000000004</v>
      </c>
      <c r="K17" t="str">
        <v>E2</v>
      </c>
      <c r="L17">
        <v>0.28549999999999998</v>
      </c>
      <c r="M17">
        <v>0.24909999999999999</v>
      </c>
      <c r="N17" t="str">
        <v>E3</v>
      </c>
      <c r="O17">
        <v>0.79390000000000005</v>
      </c>
      <c r="P17">
        <v>0.59770000000000001</v>
      </c>
      <c r="Q17" t="str">
        <v>E4</v>
      </c>
      <c r="R17">
        <v>0.28620000000000001</v>
      </c>
      <c r="S17">
        <v>0.25</v>
      </c>
      <c r="T17" t="str">
        <v>E5</v>
      </c>
      <c r="U17">
        <v>0.79320000000000002</v>
      </c>
      <c r="V17">
        <v>0.5948</v>
      </c>
      <c r="W17" t="str">
        <v>E6</v>
      </c>
      <c r="X17">
        <v>0.27910000000000001</v>
      </c>
      <c r="Y17">
        <v>0.24510000000000001</v>
      </c>
      <c r="Z17" t="str">
        <v>E7</v>
      </c>
      <c r="AA17">
        <v>0.79330000000000001</v>
      </c>
      <c r="AB17">
        <v>0.59589999999999999</v>
      </c>
      <c r="AC17">
        <v>0</v>
      </c>
      <c r="AD17">
        <f t="shared" si="0"/>
        <v>0.28360000000000002</v>
      </c>
      <c r="AF17">
        <f t="shared" si="1"/>
        <v>0.24806666666666666</v>
      </c>
    </row>
    <row r="18" spans="1:32" x14ac:dyDescent="0.25">
      <c r="B18">
        <v>83</v>
      </c>
      <c r="C18" t="str">
        <v>-&gt;</v>
      </c>
      <c r="D18">
        <v>0</v>
      </c>
      <c r="E18" t="str">
        <v>E0</v>
      </c>
      <c r="F18">
        <v>0.1099</v>
      </c>
      <c r="G18">
        <v>9.6500000000000002E-2</v>
      </c>
      <c r="H18" t="str">
        <v>E1</v>
      </c>
      <c r="I18">
        <v>1.0351999999999999</v>
      </c>
      <c r="J18">
        <v>0.8</v>
      </c>
      <c r="K18" t="str">
        <v>E2</v>
      </c>
      <c r="L18">
        <v>0.2823</v>
      </c>
      <c r="M18">
        <v>0.25040000000000001</v>
      </c>
      <c r="N18" t="str">
        <v>E3</v>
      </c>
      <c r="O18">
        <v>0.79390000000000005</v>
      </c>
      <c r="P18">
        <v>0.59519999999999995</v>
      </c>
      <c r="Q18" t="str">
        <v>E4</v>
      </c>
      <c r="R18">
        <v>0.28389999999999999</v>
      </c>
      <c r="S18">
        <v>0.2515</v>
      </c>
      <c r="T18" t="str">
        <v>E5</v>
      </c>
      <c r="U18">
        <v>0.79320000000000002</v>
      </c>
      <c r="V18">
        <v>0.59760000000000002</v>
      </c>
      <c r="W18" t="str">
        <v>E6</v>
      </c>
      <c r="X18">
        <v>0.2823</v>
      </c>
      <c r="Y18">
        <v>0.24990000000000001</v>
      </c>
      <c r="Z18" t="str">
        <v>E7</v>
      </c>
      <c r="AA18">
        <v>0.79459999999999997</v>
      </c>
      <c r="AB18">
        <v>0.5968</v>
      </c>
      <c r="AC18">
        <v>0.67810000000000004</v>
      </c>
      <c r="AD18">
        <f t="shared" si="0"/>
        <v>0.28283333333333333</v>
      </c>
      <c r="AF18">
        <f t="shared" si="1"/>
        <v>0.25059999999999999</v>
      </c>
    </row>
    <row r="19" spans="1:32" x14ac:dyDescent="0.25">
      <c r="A19" t="s">
        <v>23</v>
      </c>
      <c r="F19">
        <f>AVERAGE(F14:F18)</f>
        <v>0.10815999999999999</v>
      </c>
      <c r="G19">
        <f t="shared" ref="G19:AB19" si="2">AVERAGE(G14:G18)</f>
        <v>9.8019999999999996E-2</v>
      </c>
      <c r="I19">
        <f t="shared" si="2"/>
        <v>1.0363599999999999</v>
      </c>
      <c r="J19">
        <f t="shared" si="2"/>
        <v>0.80253999999999992</v>
      </c>
      <c r="L19">
        <f t="shared" si="2"/>
        <v>0.28158</v>
      </c>
      <c r="M19">
        <f t="shared" si="2"/>
        <v>0.24837999999999999</v>
      </c>
      <c r="O19">
        <f t="shared" si="2"/>
        <v>0.79453999999999991</v>
      </c>
      <c r="P19">
        <f t="shared" si="2"/>
        <v>0.59740000000000004</v>
      </c>
      <c r="R19">
        <f t="shared" si="2"/>
        <v>0.28408</v>
      </c>
      <c r="S19">
        <f t="shared" si="2"/>
        <v>0.25128000000000006</v>
      </c>
      <c r="U19">
        <f t="shared" si="2"/>
        <v>0.7930600000000001</v>
      </c>
      <c r="V19">
        <f t="shared" si="2"/>
        <v>0.59716000000000002</v>
      </c>
      <c r="X19">
        <f t="shared" si="2"/>
        <v>0.28222000000000003</v>
      </c>
      <c r="Y19">
        <f t="shared" si="2"/>
        <v>0.24684</v>
      </c>
      <c r="AA19">
        <f t="shared" si="2"/>
        <v>0.79324000000000006</v>
      </c>
      <c r="AB19">
        <f t="shared" si="2"/>
        <v>0.59577999999999998</v>
      </c>
      <c r="AD19">
        <f t="shared" si="0"/>
        <v>0.28262666666666669</v>
      </c>
      <c r="AF19">
        <f t="shared" si="1"/>
        <v>0.24883333333333335</v>
      </c>
    </row>
    <row r="20" spans="1:32" s="4" customFormat="1" x14ac:dyDescent="0.25">
      <c r="A20" s="4" t="s">
        <v>25</v>
      </c>
      <c r="F20" s="4">
        <f>_xlfn.STDEV.P(F14:F18)</f>
        <v>9.134549797335371E-4</v>
      </c>
      <c r="G20" s="4">
        <f t="shared" ref="G20:AB20" si="3">_xlfn.STDEV.P(G14:G18)</f>
        <v>3.1294727990509828E-3</v>
      </c>
      <c r="I20" s="4">
        <f t="shared" si="3"/>
        <v>1.7281203661782306E-3</v>
      </c>
      <c r="J20" s="4">
        <f t="shared" si="3"/>
        <v>4.3706292453147E-3</v>
      </c>
      <c r="L20" s="4">
        <f t="shared" si="3"/>
        <v>2.3370066324253282E-3</v>
      </c>
      <c r="M20" s="4">
        <f t="shared" si="3"/>
        <v>1.4034243834279054E-3</v>
      </c>
      <c r="O20" s="4">
        <f t="shared" si="3"/>
        <v>1.7130090484290977E-3</v>
      </c>
      <c r="P20" s="4">
        <f t="shared" si="3"/>
        <v>1.4601369798755202E-3</v>
      </c>
      <c r="R20" s="4">
        <f t="shared" si="3"/>
        <v>1.1124747188138819E-3</v>
      </c>
      <c r="S20" s="4">
        <f t="shared" si="3"/>
        <v>1.4606847709208155E-3</v>
      </c>
      <c r="U20" s="4">
        <f t="shared" si="3"/>
        <v>2.4979991993594929E-4</v>
      </c>
      <c r="V20" s="4">
        <f t="shared" si="3"/>
        <v>1.8895502110290888E-3</v>
      </c>
      <c r="X20" s="4">
        <f t="shared" si="3"/>
        <v>1.6265300489077931E-3</v>
      </c>
      <c r="Y20" s="4">
        <f t="shared" si="3"/>
        <v>2.494473892427023E-3</v>
      </c>
      <c r="AA20" s="4">
        <f t="shared" si="3"/>
        <v>7.9145435749636761E-4</v>
      </c>
      <c r="AB20" s="4">
        <f t="shared" si="3"/>
        <v>6.0133185513491652E-4</v>
      </c>
    </row>
    <row r="21" spans="1:32" s="4" customFormat="1" x14ac:dyDescent="0.25">
      <c r="A21" s="4" t="s">
        <v>26</v>
      </c>
      <c r="F21" s="1">
        <f>20*LOG10(F19/F20)</f>
        <v>41.46759061776649</v>
      </c>
      <c r="G21" s="1">
        <f>20*LOG10(G19/G20)</f>
        <v>29.916870341981099</v>
      </c>
      <c r="H21" s="1"/>
      <c r="I21" s="1">
        <f t="shared" ref="I21:AB21" si="4">20*LOG10(I19/I20)</f>
        <v>55.558733077523279</v>
      </c>
      <c r="J21" s="1">
        <f t="shared" si="4"/>
        <v>45.278454403749855</v>
      </c>
      <c r="K21" s="1"/>
      <c r="L21" s="1">
        <f t="shared" si="4"/>
        <v>41.618837193486577</v>
      </c>
      <c r="M21" s="1">
        <f t="shared" si="4"/>
        <v>44.958552099071085</v>
      </c>
      <c r="N21" s="1"/>
      <c r="O21" s="10">
        <f t="shared" si="4"/>
        <v>53.32712218088669</v>
      </c>
      <c r="P21" s="10">
        <f t="shared" si="4"/>
        <v>52.237432361816829</v>
      </c>
      <c r="Q21" s="1"/>
      <c r="R21" s="10">
        <f t="shared" si="4"/>
        <v>48.143010178957979</v>
      </c>
      <c r="S21" s="10">
        <f t="shared" si="4"/>
        <v>44.712028440990785</v>
      </c>
      <c r="T21" s="1"/>
      <c r="U21" s="18">
        <f t="shared" si="4"/>
        <v>70.034275016820573</v>
      </c>
      <c r="V21" s="18">
        <f t="shared" si="4"/>
        <v>49.994645448994945</v>
      </c>
      <c r="W21" s="1"/>
      <c r="X21" s="1">
        <f t="shared" si="4"/>
        <v>44.786513931454763</v>
      </c>
      <c r="Y21" s="1">
        <f t="shared" si="4"/>
        <v>39.908731496813118</v>
      </c>
      <c r="Z21" s="1"/>
      <c r="AA21" s="1">
        <f t="shared" si="4"/>
        <v>60.019574626754341</v>
      </c>
      <c r="AB21" s="1">
        <f t="shared" si="4"/>
        <v>59.91943418400421</v>
      </c>
      <c r="AC21" s="1">
        <f>AVERAGE(F21:AB21)</f>
        <v>48.86761285006704</v>
      </c>
    </row>
    <row r="22" spans="1:32" s="4" customFormat="1" x14ac:dyDescent="0.25">
      <c r="A22" s="4" t="s">
        <v>24</v>
      </c>
      <c r="B22" s="2"/>
      <c r="C22" s="2"/>
      <c r="D22" s="2"/>
      <c r="E22" s="2"/>
      <c r="F22" s="6">
        <v>0.13200000000000001</v>
      </c>
      <c r="G22" s="6">
        <v>0.13150000000000001</v>
      </c>
      <c r="H22" s="6"/>
      <c r="I22" s="6">
        <v>1.0964</v>
      </c>
      <c r="J22" s="6">
        <v>0.98570000000000002</v>
      </c>
      <c r="K22" s="6"/>
      <c r="L22" s="6">
        <v>0.30570000000000003</v>
      </c>
      <c r="M22" s="6">
        <v>0.30449999999999999</v>
      </c>
      <c r="N22" s="6"/>
      <c r="O22" s="6">
        <v>0.82930000000000004</v>
      </c>
      <c r="P22" s="6">
        <v>0.72940000000000005</v>
      </c>
      <c r="Q22" s="6"/>
      <c r="R22" s="6">
        <v>0.30570000000000003</v>
      </c>
      <c r="S22" s="6">
        <v>0.30449999999999999</v>
      </c>
      <c r="T22" s="6"/>
      <c r="U22" s="6">
        <v>0.82930000000000004</v>
      </c>
      <c r="V22" s="6">
        <v>0.72940000000000005</v>
      </c>
      <c r="W22" s="6"/>
      <c r="X22" s="6">
        <v>0.30570000000000003</v>
      </c>
      <c r="Y22" s="6">
        <v>0.30449999999999999</v>
      </c>
      <c r="Z22" s="6"/>
      <c r="AA22" s="6">
        <v>0.82930000000000004</v>
      </c>
      <c r="AB22" s="6">
        <v>0.72940000000000005</v>
      </c>
    </row>
    <row r="23" spans="1:32" s="5" customFormat="1" x14ac:dyDescent="0.25">
      <c r="A23" s="5" t="s">
        <v>30</v>
      </c>
      <c r="F23" s="5">
        <f>1-((F22-F19)/F19)</f>
        <v>0.77958579881656787</v>
      </c>
      <c r="G23" s="5">
        <f t="shared" ref="G23:AB23" si="5">1-((G22-G19)/G19)</f>
        <v>0.6584370536625177</v>
      </c>
      <c r="I23" s="5">
        <f>1-((I22-I19)/I19)</f>
        <v>0.94206646339109956</v>
      </c>
      <c r="J23" s="5">
        <f>1-((+J22-J19)/J19)</f>
        <v>0.77177461559548421</v>
      </c>
      <c r="L23" s="5">
        <f t="shared" si="5"/>
        <v>0.91434050713829096</v>
      </c>
      <c r="M23" s="5">
        <f t="shared" si="5"/>
        <v>0.77405588211611243</v>
      </c>
      <c r="O23" s="5">
        <f t="shared" si="5"/>
        <v>0.95625141591361018</v>
      </c>
      <c r="P23" s="5">
        <f t="shared" si="5"/>
        <v>0.77904251757616338</v>
      </c>
      <c r="R23" s="5">
        <f t="shared" si="5"/>
        <v>0.92389467755561805</v>
      </c>
      <c r="S23" s="5">
        <f t="shared" si="5"/>
        <v>0.7882043935052534</v>
      </c>
      <c r="U23" s="5">
        <f t="shared" si="5"/>
        <v>0.95430358358762268</v>
      </c>
      <c r="V23" s="5">
        <f t="shared" si="5"/>
        <v>0.7785518119097059</v>
      </c>
      <c r="X23" s="5">
        <f t="shared" si="5"/>
        <v>0.9168024945078308</v>
      </c>
      <c r="Y23" s="5">
        <f t="shared" si="5"/>
        <v>0.76640738940204189</v>
      </c>
      <c r="AA23" s="5">
        <f t="shared" si="5"/>
        <v>0.95454087035449553</v>
      </c>
      <c r="AB23" s="5">
        <f t="shared" si="5"/>
        <v>0.77572258216120038</v>
      </c>
    </row>
    <row r="25" spans="1:32" x14ac:dyDescent="0.25">
      <c r="A25" s="11" t="s">
        <v>16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</row>
    <row r="26" spans="1:32" x14ac:dyDescent="0.25">
      <c r="B26" cm="1">
        <f t="array" ref="B26:AC30">_xlfn._xlws.FILTER('Dado Bruto'!A:AB, ('Dado Bruto'!A:A=5) + ('Dado Bruto'!A:A=25) + ('Dado Bruto'!A:A=45)+ ('Dado Bruto'!A:A=65)+ ('Dado Bruto'!A:A=85), "Não encontrado")</f>
        <v>5</v>
      </c>
      <c r="C26" t="str">
        <v>-&gt;</v>
      </c>
      <c r="D26">
        <v>0</v>
      </c>
      <c r="E26" t="str">
        <v>E0</v>
      </c>
      <c r="F26">
        <v>0.879</v>
      </c>
      <c r="G26">
        <v>0.65620000000000001</v>
      </c>
      <c r="H26" t="str">
        <v>E1</v>
      </c>
      <c r="I26">
        <v>0.10829999999999999</v>
      </c>
      <c r="J26">
        <v>9.4899999999999998E-2</v>
      </c>
      <c r="K26" t="str">
        <v>E2</v>
      </c>
      <c r="L26">
        <v>0.94989999999999997</v>
      </c>
      <c r="M26">
        <v>0.72130000000000005</v>
      </c>
      <c r="N26" t="str">
        <v>E3</v>
      </c>
      <c r="O26">
        <v>0.36840000000000001</v>
      </c>
      <c r="P26">
        <v>0.3206</v>
      </c>
      <c r="Q26" t="str">
        <v>E4</v>
      </c>
      <c r="R26">
        <v>0.88449999999999995</v>
      </c>
      <c r="S26">
        <v>0.65920000000000001</v>
      </c>
      <c r="T26" t="str">
        <v>E5</v>
      </c>
      <c r="U26">
        <v>0.36990000000000001</v>
      </c>
      <c r="V26">
        <v>0.32740000000000002</v>
      </c>
      <c r="W26" t="str">
        <v>E6</v>
      </c>
      <c r="X26">
        <v>0.87360000000000004</v>
      </c>
      <c r="Y26">
        <v>0.63560000000000005</v>
      </c>
      <c r="Z26" t="str">
        <v>E7</v>
      </c>
      <c r="AA26">
        <v>0.372</v>
      </c>
      <c r="AB26">
        <v>0.32629999999999998</v>
      </c>
      <c r="AC26">
        <v>0.34489999999999998</v>
      </c>
    </row>
    <row r="27" spans="1:32" x14ac:dyDescent="0.25">
      <c r="B27">
        <v>25</v>
      </c>
      <c r="C27" t="str">
        <v>-&gt;</v>
      </c>
      <c r="D27">
        <v>0</v>
      </c>
      <c r="E27" t="str">
        <v>E0</v>
      </c>
      <c r="F27">
        <v>0.87309999999999999</v>
      </c>
      <c r="G27">
        <v>0.64039999999999997</v>
      </c>
      <c r="H27" t="str">
        <v>E1</v>
      </c>
      <c r="I27">
        <v>0.10580000000000001</v>
      </c>
      <c r="J27">
        <v>9.4399999999999998E-2</v>
      </c>
      <c r="K27" t="str">
        <v>E2</v>
      </c>
      <c r="L27">
        <v>0.94499999999999995</v>
      </c>
      <c r="M27">
        <v>0.69950000000000001</v>
      </c>
      <c r="N27" t="str">
        <v>E3</v>
      </c>
      <c r="O27">
        <v>0.37330000000000002</v>
      </c>
      <c r="P27">
        <v>0.31919999999999998</v>
      </c>
      <c r="Q27" t="str">
        <v>E4</v>
      </c>
      <c r="R27">
        <v>0.87280000000000002</v>
      </c>
      <c r="S27">
        <v>0.65380000000000005</v>
      </c>
      <c r="T27" t="str">
        <v>E5</v>
      </c>
      <c r="U27">
        <v>0.36859999999999998</v>
      </c>
      <c r="V27">
        <v>0.32569999999999999</v>
      </c>
      <c r="W27" t="str">
        <v>E6</v>
      </c>
      <c r="X27">
        <v>0.875</v>
      </c>
      <c r="Y27">
        <v>0.67020000000000002</v>
      </c>
      <c r="Z27" t="str">
        <v>E7</v>
      </c>
      <c r="AA27">
        <v>0.36270000000000002</v>
      </c>
      <c r="AB27">
        <v>0.34200000000000003</v>
      </c>
      <c r="AC27">
        <v>0</v>
      </c>
    </row>
    <row r="28" spans="1:32" x14ac:dyDescent="0.25">
      <c r="B28">
        <v>45</v>
      </c>
      <c r="C28" t="str">
        <v>-&gt;</v>
      </c>
      <c r="D28">
        <v>0</v>
      </c>
      <c r="E28" t="str">
        <v>E0</v>
      </c>
      <c r="F28">
        <v>0.87670000000000003</v>
      </c>
      <c r="G28">
        <v>0.64670000000000005</v>
      </c>
      <c r="H28" t="str">
        <v>E1</v>
      </c>
      <c r="I28">
        <v>0.1074</v>
      </c>
      <c r="J28">
        <v>9.4899999999999998E-2</v>
      </c>
      <c r="K28" t="str">
        <v>E2</v>
      </c>
      <c r="L28">
        <v>0.95179999999999998</v>
      </c>
      <c r="M28">
        <v>0.72270000000000001</v>
      </c>
      <c r="N28" t="str">
        <v>E3</v>
      </c>
      <c r="O28">
        <v>0.37059999999999998</v>
      </c>
      <c r="P28">
        <v>0.3211</v>
      </c>
      <c r="Q28" t="str">
        <v>E4</v>
      </c>
      <c r="R28">
        <v>0.87919999999999998</v>
      </c>
      <c r="S28">
        <v>0.65749999999999997</v>
      </c>
      <c r="T28" t="str">
        <v>E5</v>
      </c>
      <c r="U28">
        <v>0.36809999999999998</v>
      </c>
      <c r="V28">
        <v>0.31900000000000001</v>
      </c>
      <c r="W28" t="str">
        <v>E6</v>
      </c>
      <c r="X28">
        <v>0.87549999999999994</v>
      </c>
      <c r="Y28">
        <v>0.65349999999999997</v>
      </c>
      <c r="Z28" t="str">
        <v>E7</v>
      </c>
      <c r="AA28">
        <v>0.36840000000000001</v>
      </c>
      <c r="AB28">
        <v>0.32969999999999999</v>
      </c>
      <c r="AC28">
        <v>0</v>
      </c>
    </row>
    <row r="29" spans="1:32" x14ac:dyDescent="0.25">
      <c r="B29">
        <v>65</v>
      </c>
      <c r="C29" t="str">
        <v>-&gt;</v>
      </c>
      <c r="D29">
        <v>0</v>
      </c>
      <c r="E29" t="str">
        <v>E0</v>
      </c>
      <c r="F29">
        <v>0.87719999999999998</v>
      </c>
      <c r="G29">
        <v>0.65890000000000004</v>
      </c>
      <c r="H29" t="str">
        <v>E1</v>
      </c>
      <c r="I29">
        <v>0.10730000000000001</v>
      </c>
      <c r="J29">
        <v>9.4600000000000004E-2</v>
      </c>
      <c r="K29" t="str">
        <v>E2</v>
      </c>
      <c r="L29">
        <v>0.95289999999999997</v>
      </c>
      <c r="M29">
        <v>0.72</v>
      </c>
      <c r="N29" t="str">
        <v>E3</v>
      </c>
      <c r="O29">
        <v>0.36969999999999997</v>
      </c>
      <c r="P29">
        <v>0.32029999999999997</v>
      </c>
      <c r="Q29" t="str">
        <v>E4</v>
      </c>
      <c r="R29">
        <v>0.88090000000000002</v>
      </c>
      <c r="S29">
        <v>0.65759999999999996</v>
      </c>
      <c r="T29" t="str">
        <v>E5</v>
      </c>
      <c r="U29">
        <v>0.36680000000000001</v>
      </c>
      <c r="V29">
        <v>0.3206</v>
      </c>
      <c r="W29" t="str">
        <v>E6</v>
      </c>
      <c r="X29">
        <v>0.87760000000000005</v>
      </c>
      <c r="Y29">
        <v>0.65780000000000005</v>
      </c>
      <c r="Z29" t="str">
        <v>E7</v>
      </c>
      <c r="AA29">
        <v>0.36990000000000001</v>
      </c>
      <c r="AB29">
        <v>0.33500000000000002</v>
      </c>
      <c r="AC29">
        <v>0</v>
      </c>
    </row>
    <row r="30" spans="1:32" x14ac:dyDescent="0.25">
      <c r="B30">
        <v>85</v>
      </c>
      <c r="C30" t="str">
        <v>-&gt;</v>
      </c>
      <c r="D30">
        <v>0</v>
      </c>
      <c r="E30" t="str">
        <v>E0</v>
      </c>
      <c r="F30">
        <v>0.87929999999999997</v>
      </c>
      <c r="G30">
        <v>0.6552</v>
      </c>
      <c r="H30" t="str">
        <v>E1</v>
      </c>
      <c r="I30">
        <v>0.1082</v>
      </c>
      <c r="J30">
        <v>9.4600000000000004E-2</v>
      </c>
      <c r="K30" t="str">
        <v>E2</v>
      </c>
      <c r="L30">
        <v>0.95269999999999999</v>
      </c>
      <c r="M30">
        <v>0.72440000000000004</v>
      </c>
      <c r="N30" t="str">
        <v>E3</v>
      </c>
      <c r="O30">
        <v>0.3695</v>
      </c>
      <c r="P30">
        <v>0.32479999999999998</v>
      </c>
      <c r="Q30" t="str">
        <v>E4</v>
      </c>
      <c r="R30">
        <v>0.88180000000000003</v>
      </c>
      <c r="S30">
        <v>0.65580000000000005</v>
      </c>
      <c r="T30" t="str">
        <v>E5</v>
      </c>
      <c r="U30">
        <v>0.36909999999999998</v>
      </c>
      <c r="V30">
        <v>0.3201</v>
      </c>
      <c r="W30" t="str">
        <v>E6</v>
      </c>
      <c r="X30">
        <v>0.87549999999999994</v>
      </c>
      <c r="Y30">
        <v>0.65300000000000002</v>
      </c>
      <c r="Z30" t="str">
        <v>E7</v>
      </c>
      <c r="AA30">
        <v>0.36699999999999999</v>
      </c>
      <c r="AB30">
        <v>0.33019999999999999</v>
      </c>
      <c r="AC30">
        <v>0.32350000000000001</v>
      </c>
    </row>
    <row r="31" spans="1:32" s="4" customFormat="1" x14ac:dyDescent="0.25">
      <c r="A31" t="s">
        <v>23</v>
      </c>
      <c r="B31"/>
      <c r="C31"/>
      <c r="D31"/>
      <c r="E31"/>
      <c r="F31">
        <f>AVERAGE(F26:F30)</f>
        <v>0.87705999999999995</v>
      </c>
      <c r="G31">
        <f t="shared" ref="G31" si="6">AVERAGE(G26:G30)</f>
        <v>0.65147999999999995</v>
      </c>
      <c r="H31"/>
      <c r="I31">
        <f t="shared" ref="I31" si="7">AVERAGE(I26:I30)</f>
        <v>0.10740000000000001</v>
      </c>
      <c r="J31">
        <f t="shared" ref="J31" si="8">AVERAGE(J26:J30)</f>
        <v>9.4680000000000014E-2</v>
      </c>
      <c r="K31"/>
      <c r="L31">
        <f t="shared" ref="L31" si="9">AVERAGE(L26:L30)</f>
        <v>0.95045999999999997</v>
      </c>
      <c r="M31">
        <f t="shared" ref="M31" si="10">AVERAGE(M26:M30)</f>
        <v>0.71758000000000011</v>
      </c>
      <c r="N31"/>
      <c r="O31">
        <f t="shared" ref="O31" si="11">AVERAGE(O26:O30)</f>
        <v>0.37029999999999996</v>
      </c>
      <c r="P31">
        <f t="shared" ref="P31" si="12">AVERAGE(P26:P30)</f>
        <v>0.32119999999999999</v>
      </c>
      <c r="Q31"/>
      <c r="R31">
        <f t="shared" ref="R31" si="13">AVERAGE(R26:R30)</f>
        <v>0.87983999999999996</v>
      </c>
      <c r="S31">
        <f t="shared" ref="S31" si="14">AVERAGE(S26:S30)</f>
        <v>0.65678000000000003</v>
      </c>
      <c r="T31"/>
      <c r="U31">
        <f t="shared" ref="U31" si="15">AVERAGE(U26:U30)</f>
        <v>0.36849999999999994</v>
      </c>
      <c r="V31">
        <f t="shared" ref="V31" si="16">AVERAGE(V26:V30)</f>
        <v>0.32256000000000001</v>
      </c>
      <c r="W31"/>
      <c r="X31">
        <f t="shared" ref="X31" si="17">AVERAGE(X26:X30)</f>
        <v>0.87544</v>
      </c>
      <c r="Y31">
        <f t="shared" ref="Y31" si="18">AVERAGE(Y26:Y30)</f>
        <v>0.65402000000000005</v>
      </c>
      <c r="Z31"/>
      <c r="AA31">
        <f t="shared" ref="AA31" si="19">AVERAGE(AA26:AA30)</f>
        <v>0.36799999999999999</v>
      </c>
      <c r="AB31">
        <f t="shared" ref="AB31" si="20">AVERAGE(AB26:AB30)</f>
        <v>0.33263999999999999</v>
      </c>
    </row>
    <row r="32" spans="1:32" s="4" customFormat="1" x14ac:dyDescent="0.25">
      <c r="A32" s="4" t="s">
        <v>25</v>
      </c>
      <c r="F32" s="4">
        <f>_xlfn.STDEV.P(F26:F30)</f>
        <v>2.2186482371029416E-3</v>
      </c>
      <c r="G32" s="4">
        <f t="shared" ref="G32" si="21">_xlfn.STDEV.P(G26:G30)</f>
        <v>6.8816858399668446E-3</v>
      </c>
      <c r="I32" s="4">
        <f t="shared" ref="I32:J32" si="22">_xlfn.STDEV.P(I26:I30)</f>
        <v>8.9666047085839337E-4</v>
      </c>
      <c r="J32" s="4">
        <f t="shared" si="22"/>
        <v>1.9390719429665241E-4</v>
      </c>
      <c r="L32" s="4">
        <f t="shared" ref="L32:M32" si="23">_xlfn.STDEV.P(L26:L30)</f>
        <v>2.9288905749447289E-3</v>
      </c>
      <c r="M32" s="4">
        <f t="shared" si="23"/>
        <v>9.1575979383242256E-3</v>
      </c>
      <c r="O32" s="4">
        <f t="shared" ref="O32:P32" si="24">_xlfn.STDEV.P(O26:O30)</f>
        <v>1.655294535724693E-3</v>
      </c>
      <c r="P32" s="4">
        <f t="shared" si="24"/>
        <v>1.9047309521294581E-3</v>
      </c>
      <c r="R32" s="4">
        <f t="shared" ref="R32:S32" si="25">_xlfn.STDEV.P(R26:R30)</f>
        <v>3.9154054707015839E-3</v>
      </c>
      <c r="S32" s="4">
        <f t="shared" si="25"/>
        <v>1.8378248012255987E-3</v>
      </c>
      <c r="U32" s="4">
        <f t="shared" ref="U32:V32" si="26">_xlfn.STDEV.P(U26:U30)</f>
        <v>1.0373041983911912E-3</v>
      </c>
      <c r="V32" s="4">
        <f t="shared" si="26"/>
        <v>3.3422148345072064E-3</v>
      </c>
      <c r="X32" s="4">
        <f t="shared" ref="X32:Y32" si="27">_xlfn.STDEV.P(X26:X30)</f>
        <v>1.2846789482201402E-3</v>
      </c>
      <c r="Y32" s="4">
        <f t="shared" si="27"/>
        <v>1.1105746260382495E-2</v>
      </c>
      <c r="AA32" s="4">
        <f t="shared" ref="AA32:AB32" si="28">_xlfn.STDEV.P(AA26:AA30)</f>
        <v>3.1260198335903047E-3</v>
      </c>
      <c r="AB32" s="4">
        <f t="shared" si="28"/>
        <v>5.44007352891486E-3</v>
      </c>
    </row>
    <row r="33" spans="1:29" s="4" customFormat="1" x14ac:dyDescent="0.25">
      <c r="A33" s="4" t="s">
        <v>26</v>
      </c>
      <c r="F33" s="1">
        <f>20*LOG10(F31/F32)</f>
        <v>51.938817071779624</v>
      </c>
      <c r="G33" s="1">
        <f>20*LOG10(G31/G32)</f>
        <v>39.524124904157148</v>
      </c>
      <c r="H33" s="1"/>
      <c r="I33" s="1">
        <f t="shared" ref="I33" si="29">20*LOG10(I31/I32)</f>
        <v>41.567525139786248</v>
      </c>
      <c r="J33" s="1">
        <f t="shared" ref="J33" si="30">20*LOG10(J31/J32)</f>
        <v>53.773286535864322</v>
      </c>
      <c r="K33" s="1"/>
      <c r="L33" s="1">
        <f t="shared" ref="L33" si="31">20*LOG10(L31/L32)</f>
        <v>50.224613957247257</v>
      </c>
      <c r="M33" s="1">
        <f t="shared" ref="M33" si="32">20*LOG10(M31/M32)</f>
        <v>37.881775074951221</v>
      </c>
      <c r="N33" s="1"/>
      <c r="O33" s="1">
        <f t="shared" ref="O33" si="33">20*LOG10(O31/O32)</f>
        <v>46.993568612784927</v>
      </c>
      <c r="P33" s="1">
        <f t="shared" ref="P33" si="34">20*LOG10(P31/P32)</f>
        <v>44.538837948252301</v>
      </c>
      <c r="Q33" s="1"/>
      <c r="R33" s="1">
        <f t="shared" ref="R33" si="35">20*LOG10(R31/R32)</f>
        <v>47.032539180843514</v>
      </c>
      <c r="S33" s="1">
        <f t="shared" ref="S33" si="36">20*LOG10(S31/S32)</f>
        <v>51.062316227406654</v>
      </c>
      <c r="T33" s="1"/>
      <c r="U33" s="1">
        <f t="shared" ref="U33" si="37">20*LOG10(U31/U32)</f>
        <v>51.01062713059774</v>
      </c>
      <c r="V33" s="1">
        <f t="shared" ref="V33" si="38">20*LOG10(V31/V32)</f>
        <v>39.691522958468497</v>
      </c>
      <c r="W33" s="1"/>
      <c r="X33" s="1">
        <f t="shared" ref="X33" si="39">20*LOG10(X31/X32)</f>
        <v>56.66863557462981</v>
      </c>
      <c r="Y33" s="1">
        <f t="shared" ref="Y33" si="40">20*LOG10(Y31/Y32)</f>
        <v>35.400865652670291</v>
      </c>
      <c r="Z33" s="1"/>
      <c r="AA33" s="1">
        <f t="shared" ref="AA33" si="41">20*LOG10(AA31/AA32)</f>
        <v>41.417121790456378</v>
      </c>
      <c r="AB33" s="1">
        <f t="shared" ref="AB33" si="42">20*LOG10(AB31/AB32)</f>
        <v>35.727394045099807</v>
      </c>
      <c r="AC33" s="1">
        <f>AVERAGE(F33:AB33)</f>
        <v>45.278348237812224</v>
      </c>
    </row>
    <row r="34" spans="1:29" s="3" customFormat="1" x14ac:dyDescent="0.25">
      <c r="A34" s="3" t="s">
        <v>24</v>
      </c>
      <c r="F34" s="7">
        <v>0.92290000000000005</v>
      </c>
      <c r="G34" s="7">
        <v>0.81840000000000002</v>
      </c>
      <c r="H34" s="7"/>
      <c r="I34" s="6">
        <v>0.13200000000000001</v>
      </c>
      <c r="J34" s="7">
        <v>0.13150000000000001</v>
      </c>
      <c r="K34" s="7"/>
      <c r="L34" s="7">
        <v>0.99839999999999995</v>
      </c>
      <c r="M34" s="7">
        <v>0.89080000000000004</v>
      </c>
      <c r="N34" s="7"/>
      <c r="O34" s="7">
        <v>0.3992</v>
      </c>
      <c r="P34" s="6">
        <v>0.39760000000000001</v>
      </c>
      <c r="Q34" s="7"/>
      <c r="R34" s="7">
        <v>0.92290000000000005</v>
      </c>
      <c r="S34" s="7">
        <v>0.81840000000000002</v>
      </c>
      <c r="T34" s="7"/>
      <c r="U34" s="7">
        <v>0.3992</v>
      </c>
      <c r="V34" s="6">
        <v>0.39760000000000001</v>
      </c>
      <c r="W34" s="7"/>
      <c r="X34" s="7">
        <v>0.92290000000000005</v>
      </c>
      <c r="Y34" s="7">
        <v>0.81840000000000002</v>
      </c>
      <c r="Z34" s="7"/>
      <c r="AA34" s="7">
        <v>0.3992</v>
      </c>
      <c r="AB34" s="6">
        <v>0.39760000000000001</v>
      </c>
    </row>
    <row r="35" spans="1:29" s="5" customFormat="1" x14ac:dyDescent="0.25">
      <c r="A35" s="5" t="s">
        <v>30</v>
      </c>
      <c r="F35" s="5">
        <f>1-((F34-F31)/F31)</f>
        <v>0.94773447654664433</v>
      </c>
      <c r="G35" s="5">
        <f t="shared" ref="G35" si="43">1-((G34-G31)/G31)</f>
        <v>0.74378338552219547</v>
      </c>
      <c r="I35" s="5">
        <f t="shared" ref="I35" si="44">1-((I34-I31)/I31)</f>
        <v>0.77094972067039114</v>
      </c>
      <c r="J35" s="5">
        <f t="shared" ref="J35" si="45">1-((J34-J31)/J31)</f>
        <v>0.61111111111111127</v>
      </c>
      <c r="L35" s="5">
        <f>1-((L34-L31)/L31)</f>
        <v>0.94956126507164951</v>
      </c>
      <c r="M35" s="5">
        <f t="shared" ref="M35" si="46">1-((M34-M31)/M31)</f>
        <v>0.75860531229967409</v>
      </c>
      <c r="O35" s="5">
        <f>1-((O34-O31)/O31)</f>
        <v>0.92195517148258155</v>
      </c>
      <c r="P35" s="5">
        <f t="shared" ref="P35" si="47">1-((P34-P31)/P31)</f>
        <v>0.76214196762141961</v>
      </c>
      <c r="R35" s="5">
        <f t="shared" ref="R35" si="48">1-((R34-R31)/R31)</f>
        <v>0.95105928350609192</v>
      </c>
      <c r="S35" s="5">
        <f t="shared" ref="S35" si="49">1-((S34-S31)/S31)</f>
        <v>0.75392064313773255</v>
      </c>
      <c r="U35" s="5">
        <f t="shared" ref="U35" si="50">1-((U34-U31)/U31)</f>
        <v>0.91668928086838519</v>
      </c>
      <c r="V35" s="5">
        <f t="shared" ref="V35" si="51">1-((V34-V31)/V31)</f>
        <v>0.76736111111111116</v>
      </c>
      <c r="X35" s="5">
        <f t="shared" ref="X35" si="52">1-((X34-X31)/X31)</f>
        <v>0.94578726126290769</v>
      </c>
      <c r="Y35" s="5">
        <f t="shared" ref="Y35" si="53">1-((Y34-Y31)/Y31)</f>
        <v>0.7486621204244519</v>
      </c>
      <c r="AA35" s="5">
        <f t="shared" ref="AA35" si="54">1-((AA34-AA31)/AA31)</f>
        <v>0.91521739130434776</v>
      </c>
      <c r="AB35" s="5">
        <f t="shared" ref="AB35" si="55">1-((AB34-AB31)/AB31)</f>
        <v>0.80471380471380471</v>
      </c>
    </row>
    <row r="37" spans="1:29" x14ac:dyDescent="0.25">
      <c r="A37" s="11" t="s">
        <v>17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</row>
    <row r="38" spans="1:29" x14ac:dyDescent="0.25">
      <c r="B38" cm="1">
        <f t="array" ref="B38:AC42">_xlfn._xlws.FILTER('Dado Bruto'!A:AB, ('Dado Bruto'!A:A=7) + ('Dado Bruto'!A:A=27) + ('Dado Bruto'!A:A=47)+ ('Dado Bruto'!A:A=67)+ ('Dado Bruto'!A:A=87), "Não encontrado")</f>
        <v>7</v>
      </c>
      <c r="C38" t="str">
        <v>-&gt;</v>
      </c>
      <c r="D38">
        <v>0</v>
      </c>
      <c r="E38" t="str">
        <v>E0</v>
      </c>
      <c r="F38">
        <v>0.182</v>
      </c>
      <c r="G38">
        <v>0.1653</v>
      </c>
      <c r="H38" t="str">
        <v>E1</v>
      </c>
      <c r="I38">
        <v>0.69940000000000002</v>
      </c>
      <c r="J38">
        <v>0.53049999999999997</v>
      </c>
      <c r="K38" t="str">
        <v>E2</v>
      </c>
      <c r="L38">
        <v>0.1101</v>
      </c>
      <c r="M38">
        <v>9.8199999999999996E-2</v>
      </c>
      <c r="N38" t="str">
        <v>E3</v>
      </c>
      <c r="O38">
        <v>0.81850000000000001</v>
      </c>
      <c r="P38">
        <v>0.63570000000000004</v>
      </c>
      <c r="Q38" t="str">
        <v>E4</v>
      </c>
      <c r="R38">
        <v>0.18579999999999999</v>
      </c>
      <c r="S38">
        <v>0.17269999999999999</v>
      </c>
      <c r="T38" t="str">
        <v>E5</v>
      </c>
      <c r="U38">
        <v>0.69510000000000005</v>
      </c>
      <c r="V38">
        <v>0.52700000000000002</v>
      </c>
      <c r="W38" t="str">
        <v>E6</v>
      </c>
      <c r="X38">
        <v>0.18740000000000001</v>
      </c>
      <c r="Y38">
        <v>0.16289999999999999</v>
      </c>
      <c r="Z38" t="str">
        <v>E7</v>
      </c>
      <c r="AA38">
        <v>0.69589999999999996</v>
      </c>
      <c r="AB38">
        <v>0.52080000000000004</v>
      </c>
      <c r="AC38">
        <v>0.62870000000000004</v>
      </c>
    </row>
    <row r="39" spans="1:29" x14ac:dyDescent="0.25">
      <c r="B39">
        <v>27</v>
      </c>
      <c r="C39" t="str">
        <v>-&gt;</v>
      </c>
      <c r="D39">
        <v>0</v>
      </c>
      <c r="E39" t="str">
        <v>E0</v>
      </c>
      <c r="F39">
        <v>0.18770000000000001</v>
      </c>
      <c r="G39">
        <v>0.17760000000000001</v>
      </c>
      <c r="H39" t="str">
        <v>E1</v>
      </c>
      <c r="I39">
        <v>0.69699999999999995</v>
      </c>
      <c r="J39">
        <v>0.53029999999999999</v>
      </c>
      <c r="K39" t="str">
        <v>E2</v>
      </c>
      <c r="L39">
        <v>0.1108</v>
      </c>
      <c r="M39">
        <v>0.10050000000000001</v>
      </c>
      <c r="N39" t="str">
        <v>E3</v>
      </c>
      <c r="O39">
        <v>0.82240000000000002</v>
      </c>
      <c r="P39">
        <v>0.62339999999999995</v>
      </c>
      <c r="Q39" t="str">
        <v>E4</v>
      </c>
      <c r="R39">
        <v>0.18729999999999999</v>
      </c>
      <c r="S39">
        <v>0.1704</v>
      </c>
      <c r="T39" t="str">
        <v>E5</v>
      </c>
      <c r="U39">
        <v>0.69579999999999997</v>
      </c>
      <c r="V39">
        <v>0.52790000000000004</v>
      </c>
      <c r="W39" t="str">
        <v>E6</v>
      </c>
      <c r="X39">
        <v>0.18590000000000001</v>
      </c>
      <c r="Y39">
        <v>0.1721</v>
      </c>
      <c r="Z39" t="str">
        <v>E7</v>
      </c>
      <c r="AA39">
        <v>0.69699999999999995</v>
      </c>
      <c r="AB39">
        <v>0.52669999999999995</v>
      </c>
      <c r="AC39">
        <v>0</v>
      </c>
    </row>
    <row r="40" spans="1:29" x14ac:dyDescent="0.25">
      <c r="B40">
        <v>47</v>
      </c>
      <c r="C40" t="str">
        <v>-&gt;</v>
      </c>
      <c r="D40">
        <v>0</v>
      </c>
      <c r="E40" t="str">
        <v>E0</v>
      </c>
      <c r="F40">
        <v>0.19059999999999999</v>
      </c>
      <c r="G40">
        <v>0.17829999999999999</v>
      </c>
      <c r="H40" t="str">
        <v>E1</v>
      </c>
      <c r="I40">
        <v>0.69720000000000004</v>
      </c>
      <c r="J40">
        <v>0.53280000000000005</v>
      </c>
      <c r="K40" t="str">
        <v>E2</v>
      </c>
      <c r="L40">
        <v>0.1096</v>
      </c>
      <c r="M40">
        <v>0.10050000000000001</v>
      </c>
      <c r="N40" t="str">
        <v>E3</v>
      </c>
      <c r="O40">
        <v>0.82069999999999999</v>
      </c>
      <c r="P40">
        <v>0.64219999999999999</v>
      </c>
      <c r="Q40" t="str">
        <v>E4</v>
      </c>
      <c r="R40">
        <v>0.18709999999999999</v>
      </c>
      <c r="S40">
        <v>0.1716</v>
      </c>
      <c r="T40" t="str">
        <v>E5</v>
      </c>
      <c r="U40">
        <v>0.69550000000000001</v>
      </c>
      <c r="V40">
        <v>0.53069999999999995</v>
      </c>
      <c r="W40" t="str">
        <v>E6</v>
      </c>
      <c r="X40">
        <v>0.18629999999999999</v>
      </c>
      <c r="Y40">
        <v>0.17019999999999999</v>
      </c>
      <c r="Z40" t="str">
        <v>E7</v>
      </c>
      <c r="AA40">
        <v>0.69689999999999996</v>
      </c>
      <c r="AB40">
        <v>0.52349999999999997</v>
      </c>
      <c r="AC40">
        <v>0</v>
      </c>
    </row>
    <row r="41" spans="1:29" x14ac:dyDescent="0.25">
      <c r="B41">
        <v>67</v>
      </c>
      <c r="C41" t="str">
        <v>-&gt;</v>
      </c>
      <c r="D41">
        <v>0</v>
      </c>
      <c r="E41" t="str">
        <v>E0</v>
      </c>
      <c r="F41">
        <v>0.18809999999999999</v>
      </c>
      <c r="G41">
        <v>0.17710000000000001</v>
      </c>
      <c r="H41" t="str">
        <v>E1</v>
      </c>
      <c r="I41">
        <v>0.69869999999999999</v>
      </c>
      <c r="J41">
        <v>0.52959999999999996</v>
      </c>
      <c r="K41" t="str">
        <v>E2</v>
      </c>
      <c r="L41">
        <v>0.109</v>
      </c>
      <c r="M41">
        <v>0.10009999999999999</v>
      </c>
      <c r="N41" t="str">
        <v>E3</v>
      </c>
      <c r="O41">
        <v>0.82210000000000005</v>
      </c>
      <c r="P41">
        <v>0.63690000000000002</v>
      </c>
      <c r="Q41" t="str">
        <v>E4</v>
      </c>
      <c r="R41">
        <v>0.18640000000000001</v>
      </c>
      <c r="S41">
        <v>0.1711</v>
      </c>
      <c r="T41" t="str">
        <v>E5</v>
      </c>
      <c r="U41">
        <v>0.69679999999999997</v>
      </c>
      <c r="V41">
        <v>0.52969999999999995</v>
      </c>
      <c r="W41" t="str">
        <v>E6</v>
      </c>
      <c r="X41">
        <v>0.18629999999999999</v>
      </c>
      <c r="Y41">
        <v>0.17130000000000001</v>
      </c>
      <c r="Z41" t="str">
        <v>E7</v>
      </c>
      <c r="AA41">
        <v>0.69650000000000001</v>
      </c>
      <c r="AB41">
        <v>0.52580000000000005</v>
      </c>
      <c r="AC41">
        <v>0</v>
      </c>
    </row>
    <row r="42" spans="1:29" x14ac:dyDescent="0.25">
      <c r="B42">
        <v>87</v>
      </c>
      <c r="C42" t="str">
        <v>-&gt;</v>
      </c>
      <c r="D42">
        <v>0</v>
      </c>
      <c r="E42" t="str">
        <v>E0</v>
      </c>
      <c r="F42">
        <v>0.18870000000000001</v>
      </c>
      <c r="G42">
        <v>0.17499999999999999</v>
      </c>
      <c r="H42" t="str">
        <v>E1</v>
      </c>
      <c r="I42">
        <v>0.69489999999999996</v>
      </c>
      <c r="J42">
        <v>0.52959999999999996</v>
      </c>
      <c r="K42" t="str">
        <v>E2</v>
      </c>
      <c r="L42">
        <v>0.1101</v>
      </c>
      <c r="M42">
        <v>0.1019</v>
      </c>
      <c r="N42" t="str">
        <v>E3</v>
      </c>
      <c r="O42">
        <v>0.82069999999999999</v>
      </c>
      <c r="P42">
        <v>0.63639999999999997</v>
      </c>
      <c r="Q42" t="str">
        <v>E4</v>
      </c>
      <c r="R42">
        <v>0.18720000000000001</v>
      </c>
      <c r="S42">
        <v>0.1729</v>
      </c>
      <c r="T42" t="str">
        <v>E5</v>
      </c>
      <c r="U42">
        <v>0.69410000000000005</v>
      </c>
      <c r="V42">
        <v>0.52990000000000004</v>
      </c>
      <c r="W42" t="str">
        <v>E6</v>
      </c>
      <c r="X42">
        <v>0.18590000000000001</v>
      </c>
      <c r="Y42">
        <v>0.1633</v>
      </c>
      <c r="Z42" t="str">
        <v>E7</v>
      </c>
      <c r="AA42">
        <v>0.69820000000000004</v>
      </c>
      <c r="AB42">
        <v>0.52829999999999999</v>
      </c>
      <c r="AC42">
        <v>0.89049999999999996</v>
      </c>
    </row>
    <row r="43" spans="1:29" s="4" customFormat="1" x14ac:dyDescent="0.25">
      <c r="A43" t="s">
        <v>23</v>
      </c>
      <c r="B43"/>
      <c r="C43"/>
      <c r="D43"/>
      <c r="E43"/>
      <c r="F43">
        <f>AVERAGE(F38:F42)</f>
        <v>0.18741999999999998</v>
      </c>
      <c r="G43">
        <f t="shared" ref="G43" si="56">AVERAGE(G38:G42)</f>
        <v>0.17465999999999998</v>
      </c>
      <c r="H43"/>
      <c r="I43">
        <f t="shared" ref="I43" si="57">AVERAGE(I38:I42)</f>
        <v>0.69744000000000006</v>
      </c>
      <c r="J43">
        <f t="shared" ref="J43" si="58">AVERAGE(J38:J42)</f>
        <v>0.53055999999999992</v>
      </c>
      <c r="K43"/>
      <c r="L43">
        <f t="shared" ref="L43" si="59">AVERAGE(L38:L42)</f>
        <v>0.10991999999999999</v>
      </c>
      <c r="M43">
        <f t="shared" ref="M43" si="60">AVERAGE(M38:M42)</f>
        <v>0.10024</v>
      </c>
      <c r="N43"/>
      <c r="O43">
        <f t="shared" ref="O43" si="61">AVERAGE(O38:O42)</f>
        <v>0.82088000000000005</v>
      </c>
      <c r="P43">
        <f t="shared" ref="P43" si="62">AVERAGE(P38:P42)</f>
        <v>0.63491999999999993</v>
      </c>
      <c r="Q43"/>
      <c r="R43">
        <f t="shared" ref="R43" si="63">AVERAGE(R38:R42)</f>
        <v>0.18676000000000001</v>
      </c>
      <c r="S43">
        <f t="shared" ref="S43" si="64">AVERAGE(S38:S42)</f>
        <v>0.17174</v>
      </c>
      <c r="T43"/>
      <c r="U43">
        <f t="shared" ref="U43" si="65">AVERAGE(U38:U42)</f>
        <v>0.69546000000000008</v>
      </c>
      <c r="V43">
        <f t="shared" ref="V43" si="66">AVERAGE(V38:V42)</f>
        <v>0.52903999999999995</v>
      </c>
      <c r="W43"/>
      <c r="X43">
        <f t="shared" ref="X43" si="67">AVERAGE(X38:X42)</f>
        <v>0.18636</v>
      </c>
      <c r="Y43">
        <f t="shared" ref="Y43" si="68">AVERAGE(Y38:Y42)</f>
        <v>0.16796</v>
      </c>
      <c r="Z43"/>
      <c r="AA43">
        <f t="shared" ref="AA43" si="69">AVERAGE(AA38:AA42)</f>
        <v>0.69689999999999996</v>
      </c>
      <c r="AB43">
        <f t="shared" ref="AB43" si="70">AVERAGE(AB38:AB42)</f>
        <v>0.52501999999999993</v>
      </c>
    </row>
    <row r="44" spans="1:29" s="4" customFormat="1" x14ac:dyDescent="0.25">
      <c r="A44" s="4" t="s">
        <v>25</v>
      </c>
      <c r="F44" s="4">
        <f>_xlfn.STDEV.P(F38:F42)</f>
        <v>2.8867975336001658E-3</v>
      </c>
      <c r="G44" s="4">
        <f t="shared" ref="G44" si="71">_xlfn.STDEV.P(G38:G42)</f>
        <v>4.8077437535708981E-3</v>
      </c>
      <c r="I44" s="4">
        <f t="shared" ref="I44:J44" si="72">_xlfn.STDEV.P(I38:I42)</f>
        <v>1.5576905982896774E-3</v>
      </c>
      <c r="J44" s="4">
        <f t="shared" si="72"/>
        <v>1.1774548823628354E-3</v>
      </c>
      <c r="L44" s="4">
        <f t="shared" ref="L44:M44" si="73">_xlfn.STDEV.P(L38:L42)</f>
        <v>5.9799665550904109E-4</v>
      </c>
      <c r="M44" s="4">
        <f t="shared" si="73"/>
        <v>1.1892854997854838E-3</v>
      </c>
      <c r="O44" s="4">
        <f t="shared" ref="O44:P44" si="74">_xlfn.STDEV.P(O38:O42)</f>
        <v>1.3804347141390047E-3</v>
      </c>
      <c r="P44" s="4">
        <f t="shared" si="74"/>
        <v>6.2036763294034125E-3</v>
      </c>
      <c r="R44" s="4">
        <f t="shared" ref="R44:S44" si="75">_xlfn.STDEV.P(R38:R42)</f>
        <v>5.7480431452799593E-4</v>
      </c>
      <c r="S44" s="4">
        <f t="shared" si="75"/>
        <v>9.4783964888582172E-4</v>
      </c>
      <c r="U44" s="4">
        <f t="shared" ref="U44:V44" si="76">_xlfn.STDEV.P(U38:U42)</f>
        <v>8.822698000044818E-4</v>
      </c>
      <c r="V44" s="4">
        <f t="shared" si="76"/>
        <v>1.3705473359209195E-3</v>
      </c>
      <c r="X44" s="4">
        <f t="shared" ref="X44:Y44" si="77">_xlfn.STDEV.P(X38:X42)</f>
        <v>5.4990908339470196E-4</v>
      </c>
      <c r="Y44" s="4">
        <f t="shared" si="77"/>
        <v>4.0157689176545039E-3</v>
      </c>
      <c r="AA44" s="4">
        <f t="shared" ref="AA44:AB44" si="78">_xlfn.STDEV.P(AA38:AA42)</f>
        <v>7.5630681604758388E-4</v>
      </c>
      <c r="AB44" s="4">
        <f t="shared" si="78"/>
        <v>2.6194655943531536E-3</v>
      </c>
    </row>
    <row r="45" spans="1:29" s="4" customFormat="1" x14ac:dyDescent="0.25">
      <c r="A45" s="4" t="s">
        <v>26</v>
      </c>
      <c r="F45" s="1">
        <f>20*LOG10(F43/F44)</f>
        <v>36.247992159327495</v>
      </c>
      <c r="G45" s="1">
        <f>20*LOG10(G43/G44)</f>
        <v>31.205042870731067</v>
      </c>
      <c r="H45" s="1"/>
      <c r="I45" s="1">
        <f t="shared" ref="I45" si="79">20*LOG10(I43/I44)</f>
        <v>53.020513060446007</v>
      </c>
      <c r="J45" s="1">
        <f t="shared" ref="J45" si="80">20*LOG10(J43/J44)</f>
        <v>53.075804593624355</v>
      </c>
      <c r="K45" s="1"/>
      <c r="L45" s="1">
        <f t="shared" ref="L45" si="81">20*LOG10(L43/L44)</f>
        <v>45.287559293070714</v>
      </c>
      <c r="M45" s="1">
        <f t="shared" ref="M45" si="82">20*LOG10(M43/M44)</f>
        <v>38.515098683031866</v>
      </c>
      <c r="N45" s="1"/>
      <c r="O45" s="1">
        <f t="shared" ref="O45" si="83">20*LOG10(O43/O44)</f>
        <v>55.485276050651599</v>
      </c>
      <c r="P45" s="1">
        <f t="shared" ref="P45" si="84">20*LOG10(P43/P44)</f>
        <v>40.201397534529519</v>
      </c>
      <c r="Q45" s="1"/>
      <c r="R45" s="1">
        <f t="shared" ref="R45" si="85">20*LOG10(R43/R44)</f>
        <v>50.235276918691923</v>
      </c>
      <c r="S45" s="1">
        <f t="shared" ref="S45" si="86">20*LOG10(S43/S44)</f>
        <v>45.162731738720048</v>
      </c>
      <c r="T45" s="1"/>
      <c r="U45" s="1">
        <f t="shared" ref="U45" si="87">20*LOG10(U43/U44)</f>
        <v>57.933414851662647</v>
      </c>
      <c r="V45" s="1">
        <f t="shared" ref="V45" si="88">20*LOG10(V43/V44)</f>
        <v>51.73188939824346</v>
      </c>
      <c r="W45" s="1"/>
      <c r="X45" s="1">
        <f t="shared" ref="X45" si="89">20*LOG10(X43/X44)</f>
        <v>50.60123616723196</v>
      </c>
      <c r="Y45" s="1">
        <f t="shared" ref="Y45" si="90">20*LOG10(Y43/Y44)</f>
        <v>32.428743040736848</v>
      </c>
      <c r="Z45" s="1"/>
      <c r="AA45" s="1">
        <f t="shared" ref="AA45" si="91">20*LOG10(AA43/AA44)</f>
        <v>59.289449002467464</v>
      </c>
      <c r="AB45" s="1">
        <f t="shared" ref="AB45" si="92">20*LOG10(AB43/AB44)</f>
        <v>46.039262982154547</v>
      </c>
      <c r="AC45" s="1">
        <f>AVERAGE(F45:AB45)</f>
        <v>46.653793021582594</v>
      </c>
    </row>
    <row r="46" spans="1:29" s="3" customFormat="1" x14ac:dyDescent="0.25">
      <c r="A46" s="3" t="s">
        <v>24</v>
      </c>
      <c r="F46" s="7">
        <v>0.20760000000000001</v>
      </c>
      <c r="G46" s="7">
        <v>0.20669999999999999</v>
      </c>
      <c r="H46" s="7"/>
      <c r="I46" s="7">
        <v>0.73150000000000004</v>
      </c>
      <c r="J46" s="7">
        <v>0.63739999999999997</v>
      </c>
      <c r="K46" s="7"/>
      <c r="L46" s="7">
        <v>0.13200000000000001</v>
      </c>
      <c r="M46" s="7">
        <v>0.13150000000000001</v>
      </c>
      <c r="N46" s="7"/>
      <c r="O46" s="7">
        <v>0.84599999999999997</v>
      </c>
      <c r="P46" s="7">
        <v>0.745</v>
      </c>
      <c r="Q46" s="7"/>
      <c r="R46" s="7">
        <v>0.20760000000000001</v>
      </c>
      <c r="S46" s="7">
        <v>0.20669999999999999</v>
      </c>
      <c r="T46" s="7"/>
      <c r="U46" s="7">
        <v>0.73150000000000004</v>
      </c>
      <c r="V46" s="7">
        <v>0.63739999999999997</v>
      </c>
      <c r="W46" s="7"/>
      <c r="X46" s="7">
        <v>0.20760000000000001</v>
      </c>
      <c r="Y46" s="7">
        <v>0.20669999999999999</v>
      </c>
      <c r="Z46" s="7"/>
      <c r="AA46" s="7">
        <v>0.73150000000000004</v>
      </c>
      <c r="AB46" s="7">
        <v>0.63739999999999997</v>
      </c>
    </row>
    <row r="47" spans="1:29" s="5" customFormat="1" x14ac:dyDescent="0.25">
      <c r="A47" s="5" t="s">
        <v>30</v>
      </c>
      <c r="F47" s="5">
        <f>1-((F46-F43)/F43)</f>
        <v>0.89232739302102215</v>
      </c>
      <c r="G47" s="5">
        <f t="shared" ref="G47" si="93">1-((G46-G43)/G43)</f>
        <v>0.81655788388869799</v>
      </c>
      <c r="I47" s="5">
        <f t="shared" ref="I47" si="94">1-((I46-I43)/I43)</f>
        <v>0.95116425785730674</v>
      </c>
      <c r="J47" s="5">
        <f t="shared" ref="J47" si="95">1-((J46-J43)/J43)</f>
        <v>0.79862786489746673</v>
      </c>
      <c r="L47" s="5">
        <f t="shared" ref="L47" si="96">1-((L46-L43)/L43)</f>
        <v>0.79912663755458502</v>
      </c>
      <c r="M47" s="5">
        <f t="shared" ref="M47" si="97">1-((M46-M43)/M43)</f>
        <v>0.68814844373503581</v>
      </c>
      <c r="O47" s="5">
        <f t="shared" ref="O47" si="98">1-((O46-O43)/O43)</f>
        <v>0.96939869408439738</v>
      </c>
      <c r="P47" s="5">
        <f t="shared" ref="P47" si="99">1-((P46-P43)/P43)</f>
        <v>0.8266238266238265</v>
      </c>
      <c r="R47" s="5">
        <f t="shared" ref="R47" si="100">1-((R46-R43)/R43)</f>
        <v>0.88841293638894836</v>
      </c>
      <c r="S47" s="5">
        <f t="shared" ref="S47" si="101">1-((S46-S43)/S43)</f>
        <v>0.79643647373937354</v>
      </c>
      <c r="U47" s="5">
        <f t="shared" ref="U47" si="102">1-((U46-U43)/U43)</f>
        <v>0.94817818422339173</v>
      </c>
      <c r="V47" s="5">
        <f t="shared" ref="V47" si="103">1-((V46-V43)/V43)</f>
        <v>0.79517616815363668</v>
      </c>
      <c r="X47" s="5">
        <f t="shared" ref="X47" si="104">1-((X46-X43)/X43)</f>
        <v>0.88602704443013514</v>
      </c>
      <c r="Y47" s="5">
        <f t="shared" ref="Y47" si="105">1-((Y46-Y43)/Y43)</f>
        <v>0.76934984520123839</v>
      </c>
      <c r="AA47" s="5">
        <f t="shared" ref="AA47" si="106">1-((AA46-AA43)/AA43)</f>
        <v>0.95035155689481976</v>
      </c>
      <c r="AB47" s="5">
        <f t="shared" ref="AB47" si="107">1-((AB46-AB43)/AB43)</f>
        <v>0.7859510113900422</v>
      </c>
    </row>
    <row r="49" spans="1:29" x14ac:dyDescent="0.25">
      <c r="A49" s="11" t="s">
        <v>18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</row>
    <row r="50" spans="1:29" x14ac:dyDescent="0.25">
      <c r="B50" cm="1">
        <f t="array" ref="B50:AC54">_xlfn._xlws.FILTER('Dado Bruto'!A:AB, ('Dado Bruto'!A:A=9) + ('Dado Bruto'!A:A=29) + ('Dado Bruto'!A:A=49)+ ('Dado Bruto'!A:A=69)+ ('Dado Bruto'!A:A=89), "Não encontrado")</f>
        <v>9</v>
      </c>
      <c r="C50" t="str">
        <v>-&gt;</v>
      </c>
      <c r="D50">
        <v>0</v>
      </c>
      <c r="E50" t="str">
        <v>E0</v>
      </c>
      <c r="F50">
        <v>0.753</v>
      </c>
      <c r="G50">
        <v>0.57630000000000003</v>
      </c>
      <c r="H50" t="str">
        <v>E1</v>
      </c>
      <c r="I50">
        <v>0.23369999999999999</v>
      </c>
      <c r="J50">
        <v>0.2024</v>
      </c>
      <c r="K50" t="str">
        <v>E2</v>
      </c>
      <c r="L50">
        <v>0.74119999999999997</v>
      </c>
      <c r="M50">
        <v>0.55079999999999996</v>
      </c>
      <c r="N50" t="str">
        <v>E3</v>
      </c>
      <c r="O50">
        <v>0.1047</v>
      </c>
      <c r="P50">
        <v>9.0999999999999998E-2</v>
      </c>
      <c r="Q50" t="str">
        <v>E4</v>
      </c>
      <c r="R50">
        <v>0.88229999999999997</v>
      </c>
      <c r="S50">
        <v>0.67190000000000005</v>
      </c>
      <c r="T50" t="str">
        <v>E5</v>
      </c>
      <c r="U50">
        <v>0.23319999999999999</v>
      </c>
      <c r="V50">
        <v>0.20610000000000001</v>
      </c>
      <c r="W50" t="str">
        <v>E6</v>
      </c>
      <c r="X50">
        <v>0.74209999999999998</v>
      </c>
      <c r="Y50">
        <v>0.55159999999999998</v>
      </c>
      <c r="Z50" t="str">
        <v>E7</v>
      </c>
      <c r="AA50">
        <v>0.2316</v>
      </c>
      <c r="AB50">
        <v>0.2185</v>
      </c>
      <c r="AC50">
        <v>0.2172</v>
      </c>
    </row>
    <row r="51" spans="1:29" x14ac:dyDescent="0.25">
      <c r="B51">
        <v>29</v>
      </c>
      <c r="C51" t="str">
        <v>-&gt;</v>
      </c>
      <c r="D51">
        <v>0</v>
      </c>
      <c r="E51" t="str">
        <v>E0</v>
      </c>
      <c r="F51">
        <v>0.74239999999999995</v>
      </c>
      <c r="G51">
        <v>0.55010000000000003</v>
      </c>
      <c r="H51" t="str">
        <v>E1</v>
      </c>
      <c r="I51">
        <v>0.2349</v>
      </c>
      <c r="J51">
        <v>0.20730000000000001</v>
      </c>
      <c r="K51" t="str">
        <v>E2</v>
      </c>
      <c r="L51">
        <v>0.74370000000000003</v>
      </c>
      <c r="M51">
        <v>0.55310000000000004</v>
      </c>
      <c r="N51" t="str">
        <v>E3</v>
      </c>
      <c r="O51">
        <v>0.10879999999999999</v>
      </c>
      <c r="P51">
        <v>9.6799999999999997E-2</v>
      </c>
      <c r="Q51" t="str">
        <v>E4</v>
      </c>
      <c r="R51">
        <v>0.88600000000000001</v>
      </c>
      <c r="S51">
        <v>0.67049999999999998</v>
      </c>
      <c r="T51" t="str">
        <v>E5</v>
      </c>
      <c r="U51">
        <v>0.2351</v>
      </c>
      <c r="V51">
        <v>0.20430000000000001</v>
      </c>
      <c r="W51" t="str">
        <v>E6</v>
      </c>
      <c r="X51">
        <v>0.74160000000000004</v>
      </c>
      <c r="Y51">
        <v>0.55300000000000005</v>
      </c>
      <c r="Z51" t="str">
        <v>E7</v>
      </c>
      <c r="AA51">
        <v>0.2339</v>
      </c>
      <c r="AB51">
        <v>0.2152</v>
      </c>
      <c r="AC51">
        <v>0</v>
      </c>
    </row>
    <row r="52" spans="1:29" x14ac:dyDescent="0.25">
      <c r="B52">
        <v>49</v>
      </c>
      <c r="C52" t="str">
        <v>-&gt;</v>
      </c>
      <c r="D52">
        <v>0</v>
      </c>
      <c r="E52" t="str">
        <v>E0</v>
      </c>
      <c r="F52">
        <v>0.74509999999999998</v>
      </c>
      <c r="G52">
        <v>0.55220000000000002</v>
      </c>
      <c r="H52" t="str">
        <v>E1</v>
      </c>
      <c r="I52">
        <v>0.23219999999999999</v>
      </c>
      <c r="J52">
        <v>0.20749999999999999</v>
      </c>
      <c r="K52" t="str">
        <v>E2</v>
      </c>
      <c r="L52">
        <v>0.74</v>
      </c>
      <c r="M52">
        <v>0.54769999999999996</v>
      </c>
      <c r="N52" t="str">
        <v>E3</v>
      </c>
      <c r="O52">
        <v>0.109</v>
      </c>
      <c r="P52">
        <v>9.6199999999999994E-2</v>
      </c>
      <c r="Q52" t="str">
        <v>E4</v>
      </c>
      <c r="R52">
        <v>0.88649999999999995</v>
      </c>
      <c r="S52">
        <v>0.6704</v>
      </c>
      <c r="T52" t="str">
        <v>E5</v>
      </c>
      <c r="U52">
        <v>0.2324</v>
      </c>
      <c r="V52">
        <v>0.20730000000000001</v>
      </c>
      <c r="W52" t="str">
        <v>E6</v>
      </c>
      <c r="X52">
        <v>0.74329999999999996</v>
      </c>
      <c r="Y52">
        <v>0.55149999999999999</v>
      </c>
      <c r="Z52" t="str">
        <v>E7</v>
      </c>
      <c r="AA52">
        <v>0.2326</v>
      </c>
      <c r="AB52">
        <v>0.21659999999999999</v>
      </c>
      <c r="AC52">
        <v>0.69840000000000002</v>
      </c>
    </row>
    <row r="53" spans="1:29" x14ac:dyDescent="0.25">
      <c r="B53">
        <v>69</v>
      </c>
      <c r="C53" t="str">
        <v>-&gt;</v>
      </c>
      <c r="D53">
        <v>0</v>
      </c>
      <c r="E53" t="str">
        <v>E0</v>
      </c>
      <c r="F53">
        <v>0.74039999999999995</v>
      </c>
      <c r="G53">
        <v>0.54100000000000004</v>
      </c>
      <c r="H53" t="str">
        <v>E1</v>
      </c>
      <c r="I53">
        <v>0.2346</v>
      </c>
      <c r="J53">
        <v>0.20699999999999999</v>
      </c>
      <c r="K53" t="str">
        <v>E2</v>
      </c>
      <c r="L53">
        <v>0.7389</v>
      </c>
      <c r="M53">
        <v>0.55200000000000005</v>
      </c>
      <c r="N53" t="str">
        <v>E3</v>
      </c>
      <c r="O53">
        <v>0.1086</v>
      </c>
      <c r="P53">
        <v>9.6600000000000005E-2</v>
      </c>
      <c r="Q53" t="str">
        <v>E4</v>
      </c>
      <c r="R53">
        <v>0.88660000000000005</v>
      </c>
      <c r="S53">
        <v>0.67100000000000004</v>
      </c>
      <c r="T53" t="str">
        <v>E5</v>
      </c>
      <c r="U53">
        <v>0.2301</v>
      </c>
      <c r="V53">
        <v>0.20530000000000001</v>
      </c>
      <c r="W53" t="str">
        <v>E6</v>
      </c>
      <c r="X53">
        <v>0.74119999999999997</v>
      </c>
      <c r="Y53">
        <v>0.54769999999999996</v>
      </c>
      <c r="Z53" t="str">
        <v>E7</v>
      </c>
      <c r="AA53">
        <v>0.23039999999999999</v>
      </c>
      <c r="AB53">
        <v>0.21709999999999999</v>
      </c>
      <c r="AC53">
        <v>0</v>
      </c>
    </row>
    <row r="54" spans="1:29" x14ac:dyDescent="0.25">
      <c r="B54">
        <v>89</v>
      </c>
      <c r="C54" t="str">
        <v>-&gt;</v>
      </c>
      <c r="D54">
        <v>0</v>
      </c>
      <c r="E54" t="str">
        <v>E0</v>
      </c>
      <c r="F54">
        <v>0.73170000000000002</v>
      </c>
      <c r="G54">
        <v>0.53769999999999996</v>
      </c>
      <c r="H54" t="str">
        <v>E1</v>
      </c>
      <c r="I54">
        <v>0.23469999999999999</v>
      </c>
      <c r="J54">
        <v>0.2034</v>
      </c>
      <c r="K54" t="str">
        <v>E2</v>
      </c>
      <c r="L54">
        <v>0.7359</v>
      </c>
      <c r="M54">
        <v>0.54820000000000002</v>
      </c>
      <c r="N54" t="str">
        <v>E3</v>
      </c>
      <c r="O54">
        <v>0.109</v>
      </c>
      <c r="P54">
        <v>9.5600000000000004E-2</v>
      </c>
      <c r="Q54" t="str">
        <v>E4</v>
      </c>
      <c r="R54">
        <v>0.87419999999999998</v>
      </c>
      <c r="S54">
        <v>0.68049999999999999</v>
      </c>
      <c r="T54" t="str">
        <v>E5</v>
      </c>
      <c r="U54">
        <v>0.2311</v>
      </c>
      <c r="V54">
        <v>0.20499999999999999</v>
      </c>
      <c r="W54" t="str">
        <v>E6</v>
      </c>
      <c r="X54">
        <v>0.73180000000000001</v>
      </c>
      <c r="Y54">
        <v>0.56089999999999995</v>
      </c>
      <c r="Z54" t="str">
        <v>E7</v>
      </c>
      <c r="AA54">
        <v>0.2291</v>
      </c>
      <c r="AB54">
        <v>0.2238</v>
      </c>
      <c r="AC54">
        <v>9.4200000000000006E-2</v>
      </c>
    </row>
    <row r="55" spans="1:29" s="4" customFormat="1" x14ac:dyDescent="0.25">
      <c r="A55" t="s">
        <v>23</v>
      </c>
      <c r="B55"/>
      <c r="C55"/>
      <c r="D55"/>
      <c r="E55"/>
      <c r="F55">
        <f>AVERAGE(F50:F54)</f>
        <v>0.74252000000000007</v>
      </c>
      <c r="G55">
        <f t="shared" ref="G55" si="108">AVERAGE(G50:G54)</f>
        <v>0.55146000000000006</v>
      </c>
      <c r="H55"/>
      <c r="I55">
        <f t="shared" ref="I55" si="109">AVERAGE(I50:I54)</f>
        <v>0.23401999999999998</v>
      </c>
      <c r="J55">
        <f t="shared" ref="J55" si="110">AVERAGE(J50:J54)</f>
        <v>0.20551999999999998</v>
      </c>
      <c r="K55"/>
      <c r="L55">
        <f t="shared" ref="L55" si="111">AVERAGE(L50:L54)</f>
        <v>0.73994000000000004</v>
      </c>
      <c r="M55">
        <f t="shared" ref="M55" si="112">AVERAGE(M50:M54)</f>
        <v>0.55035999999999996</v>
      </c>
      <c r="N55"/>
      <c r="O55">
        <f t="shared" ref="O55" si="113">AVERAGE(O50:O54)</f>
        <v>0.10802</v>
      </c>
      <c r="P55">
        <f t="shared" ref="P55" si="114">AVERAGE(P50:P54)</f>
        <v>9.5240000000000005E-2</v>
      </c>
      <c r="Q55"/>
      <c r="R55">
        <f t="shared" ref="R55" si="115">AVERAGE(R50:R54)</f>
        <v>0.88311999999999991</v>
      </c>
      <c r="S55">
        <f t="shared" ref="S55" si="116">AVERAGE(S50:S54)</f>
        <v>0.6728599999999999</v>
      </c>
      <c r="T55"/>
      <c r="U55">
        <f t="shared" ref="U55" si="117">AVERAGE(U50:U54)</f>
        <v>0.23237999999999998</v>
      </c>
      <c r="V55">
        <f t="shared" ref="V55" si="118">AVERAGE(V50:V54)</f>
        <v>0.2056</v>
      </c>
      <c r="W55"/>
      <c r="X55">
        <f t="shared" ref="X55" si="119">AVERAGE(X50:X54)</f>
        <v>0.74</v>
      </c>
      <c r="Y55">
        <f t="shared" ref="Y55" si="120">AVERAGE(Y50:Y54)</f>
        <v>0.55293999999999988</v>
      </c>
      <c r="Z55"/>
      <c r="AA55">
        <f t="shared" ref="AA55" si="121">AVERAGE(AA50:AA54)</f>
        <v>0.23152000000000003</v>
      </c>
      <c r="AB55">
        <f t="shared" ref="AB55" si="122">AVERAGE(AB50:AB54)</f>
        <v>0.21823999999999999</v>
      </c>
    </row>
    <row r="56" spans="1:29" s="4" customFormat="1" x14ac:dyDescent="0.25">
      <c r="A56" s="4" t="s">
        <v>25</v>
      </c>
      <c r="F56" s="4">
        <f>_xlfn.STDEV.P(F50:F54)</f>
        <v>6.9002608646340302E-3</v>
      </c>
      <c r="G56" s="4">
        <f t="shared" ref="G56" si="123">_xlfn.STDEV.P(G50:G54)</f>
        <v>1.3551177070645945E-2</v>
      </c>
      <c r="I56" s="4">
        <f t="shared" ref="I56:J56" si="124">_xlfn.STDEV.P(I50:I54)</f>
        <v>9.987992791347048E-4</v>
      </c>
      <c r="J56" s="4">
        <f t="shared" si="124"/>
        <v>2.1683173199511185E-3</v>
      </c>
      <c r="L56" s="4">
        <f t="shared" ref="L56:M56" si="125">_xlfn.STDEV.P(L50:L54)</f>
        <v>2.5741794809220333E-3</v>
      </c>
      <c r="M56" s="4">
        <f t="shared" si="125"/>
        <v>2.1039011383618008E-3</v>
      </c>
      <c r="O56" s="4">
        <f t="shared" ref="O56:P56" si="126">_xlfn.STDEV.P(O50:O54)</f>
        <v>1.6666133324799717E-3</v>
      </c>
      <c r="P56" s="4">
        <f t="shared" si="126"/>
        <v>2.1592591322025256E-3</v>
      </c>
      <c r="R56" s="4">
        <f t="shared" ref="R56:S56" si="127">_xlfn.STDEV.P(R50:R54)</f>
        <v>4.7343003706989397E-3</v>
      </c>
      <c r="S56" s="4">
        <f t="shared" si="127"/>
        <v>3.8567343699041482E-3</v>
      </c>
      <c r="U56" s="4">
        <f t="shared" ref="U56:V56" si="128">_xlfn.STDEV.P(U50:U54)</f>
        <v>1.7267310155319505E-3</v>
      </c>
      <c r="V56" s="4">
        <f t="shared" si="128"/>
        <v>1.0276186062932132E-3</v>
      </c>
      <c r="X56" s="4">
        <f t="shared" ref="X56:Y56" si="129">_xlfn.STDEV.P(X50:X54)</f>
        <v>4.1602884515379371E-3</v>
      </c>
      <c r="Y56" s="4">
        <f t="shared" si="129"/>
        <v>4.3518272024518556E-3</v>
      </c>
      <c r="AA56" s="4">
        <f t="shared" ref="AA56:AB56" si="130">_xlfn.STDEV.P(AA50:AA54)</f>
        <v>1.6702095676890377E-3</v>
      </c>
      <c r="AB56" s="4">
        <f t="shared" si="130"/>
        <v>2.9736173257499036E-3</v>
      </c>
    </row>
    <row r="57" spans="1:29" s="4" customFormat="1" x14ac:dyDescent="0.25">
      <c r="A57" s="4" t="s">
        <v>26</v>
      </c>
      <c r="F57" s="1">
        <f>20*LOG10(F55/F56)</f>
        <v>40.636852928638795</v>
      </c>
      <c r="G57" s="1">
        <f>20*LOG10(G55/G56)</f>
        <v>32.190739926521836</v>
      </c>
      <c r="H57" s="1"/>
      <c r="I57" s="1">
        <f t="shared" ref="I57" si="131">20*LOG10(I55/I56)</f>
        <v>47.395495095503726</v>
      </c>
      <c r="J57" s="1">
        <f t="shared" ref="J57" si="132">20*LOG10(J55/J56)</f>
        <v>39.53462504810237</v>
      </c>
      <c r="K57" s="1"/>
      <c r="L57" s="1">
        <f t="shared" ref="L57" si="133">20*LOG10(L55/L56)</f>
        <v>49.17115362123613</v>
      </c>
      <c r="M57" s="1">
        <f t="shared" ref="M57" si="134">20*LOG10(M55/M56)</f>
        <v>48.35243066756987</v>
      </c>
      <c r="N57" s="1"/>
      <c r="O57" s="1">
        <f t="shared" ref="O57" si="135">20*LOG10(O55/O56)</f>
        <v>36.233386423939521</v>
      </c>
      <c r="P57" s="1">
        <f t="shared" ref="P57" si="136">20*LOG10(P55/P56)</f>
        <v>32.890292433757878</v>
      </c>
      <c r="Q57" s="1"/>
      <c r="R57" s="1">
        <f t="shared" ref="R57" si="137">20*LOG10(R55/R56)</f>
        <v>45.415278235564209</v>
      </c>
      <c r="S57" s="1">
        <f t="shared" ref="S57" si="138">20*LOG10(S55/S56)</f>
        <v>44.834099662106404</v>
      </c>
      <c r="T57" s="1"/>
      <c r="U57" s="1">
        <f t="shared" ref="U57" si="139">20*LOG10(U55/U56)</f>
        <v>42.579481149936697</v>
      </c>
      <c r="V57" s="1">
        <f t="shared" ref="V57" si="140">20*LOG10(V55/V56)</f>
        <v>46.023823024486809</v>
      </c>
      <c r="W57" s="1"/>
      <c r="X57" s="10">
        <f t="shared" ref="X57" si="141">20*LOG10(X55/X56)</f>
        <v>45.002165529352673</v>
      </c>
      <c r="Y57" s="10">
        <f t="shared" ref="Y57" si="142">20*LOG10(Y55/Y56)</f>
        <v>42.080127312855595</v>
      </c>
      <c r="Z57" s="1"/>
      <c r="AA57" s="1">
        <f t="shared" ref="AA57" si="143">20*LOG10(AA55/AA56)</f>
        <v>42.836350931820036</v>
      </c>
      <c r="AB57" s="1">
        <f t="shared" ref="AB57" si="144">20*LOG10(AB55/AB56)</f>
        <v>37.312985489382747</v>
      </c>
      <c r="AC57" s="10">
        <f>AVERAGE(F57:AB57)</f>
        <v>42.030580467548447</v>
      </c>
    </row>
    <row r="58" spans="1:29" s="3" customFormat="1" x14ac:dyDescent="0.25">
      <c r="A58" s="3" t="s">
        <v>24</v>
      </c>
      <c r="F58" s="7">
        <v>0.77049999999999996</v>
      </c>
      <c r="G58" s="7">
        <v>0.67379999999999995</v>
      </c>
      <c r="H58" s="7"/>
      <c r="I58" s="7">
        <v>0.24660000000000001</v>
      </c>
      <c r="J58" s="7">
        <v>0.24560000000000001</v>
      </c>
      <c r="K58" s="7"/>
      <c r="L58" s="7">
        <v>0.77049999999999996</v>
      </c>
      <c r="M58" s="7">
        <v>0.67379999999999995</v>
      </c>
      <c r="N58" s="7"/>
      <c r="O58" s="6">
        <v>0.13200000000000001</v>
      </c>
      <c r="P58" s="7">
        <v>0.13150000000000001</v>
      </c>
      <c r="Q58" s="7"/>
      <c r="R58" s="7">
        <v>0.90820000000000001</v>
      </c>
      <c r="S58" s="7">
        <v>0.84430000000000005</v>
      </c>
      <c r="T58" s="7"/>
      <c r="U58" s="7">
        <v>0.2467</v>
      </c>
      <c r="V58" s="7">
        <v>0.24560000000000001</v>
      </c>
      <c r="W58" s="7"/>
      <c r="X58" s="7">
        <v>0.77049999999999996</v>
      </c>
      <c r="Y58" s="7">
        <v>0.67379999999999995</v>
      </c>
      <c r="Z58" s="7"/>
      <c r="AA58" s="7">
        <v>0.2467</v>
      </c>
      <c r="AB58" s="7">
        <v>0.24560000000000001</v>
      </c>
    </row>
    <row r="59" spans="1:29" s="5" customFormat="1" x14ac:dyDescent="0.25">
      <c r="A59" s="5" t="s">
        <v>30</v>
      </c>
      <c r="F59" s="5">
        <f>1-((F58-F55)/F55)</f>
        <v>0.96231751333297433</v>
      </c>
      <c r="G59" s="5">
        <f t="shared" ref="G59" si="145">1-((G58-G55)/G55)</f>
        <v>0.77815254052877836</v>
      </c>
      <c r="I59" s="5">
        <f t="shared" ref="I59" si="146">1-((I58-I55)/I55)</f>
        <v>0.94624391077685654</v>
      </c>
      <c r="J59" s="5">
        <f t="shared" ref="J59" si="147">1-((J58-J55)/J55)</f>
        <v>0.80498248345659773</v>
      </c>
      <c r="L59" s="5">
        <f t="shared" ref="L59" si="148">1-((L58-L55)/L55)</f>
        <v>0.95869935400167594</v>
      </c>
      <c r="M59" s="5">
        <f t="shared" ref="M59" si="149">1-((M58-M55)/M55)</f>
        <v>0.77571044407297041</v>
      </c>
      <c r="O59" s="5">
        <f t="shared" ref="O59" si="150">1-((O58-O55)/O55)</f>
        <v>0.77800407331975563</v>
      </c>
      <c r="P59" s="5">
        <f t="shared" ref="P59" si="151">1-((P58-P55)/P55)</f>
        <v>0.61927761444771101</v>
      </c>
      <c r="R59" s="5">
        <f t="shared" ref="R59" si="152">1-((R58-R55)/R55)</f>
        <v>0.97160068846815828</v>
      </c>
      <c r="S59" s="5">
        <f t="shared" ref="S59" si="153">1-((S58-S55)/S55)</f>
        <v>0.74520702672175465</v>
      </c>
      <c r="U59" s="5">
        <f t="shared" ref="U59" si="154">1-((U58-U55)/U55)</f>
        <v>0.93837679662621554</v>
      </c>
      <c r="V59" s="5">
        <f t="shared" ref="V59" si="155">1-((V58-V55)/V55)</f>
        <v>0.80544747081712065</v>
      </c>
      <c r="X59" s="5">
        <f t="shared" ref="X59" si="156">1-((X58-X55)/X55)</f>
        <v>0.95878378378378382</v>
      </c>
      <c r="Y59" s="5">
        <f t="shared" ref="Y59" si="157">1-((Y58-Y55)/Y55)</f>
        <v>0.78142293919774275</v>
      </c>
      <c r="AA59" s="5">
        <f t="shared" ref="AA59" si="158">1-((AA58-AA55)/AA55)</f>
        <v>0.9344333102971667</v>
      </c>
      <c r="AB59" s="5">
        <f t="shared" ref="AB59" si="159">1-((AB58-AB55)/AB55)</f>
        <v>0.87463343108504388</v>
      </c>
    </row>
    <row r="61" spans="1:29" x14ac:dyDescent="0.25">
      <c r="A61" s="11" t="s">
        <v>19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</row>
    <row r="62" spans="1:29" x14ac:dyDescent="0.25">
      <c r="B62" cm="1">
        <f t="array" ref="B62:AC66">_xlfn._xlws.FILTER('Dado Bruto'!A:AB, ('Dado Bruto'!A:A=11) + ('Dado Bruto'!A:A=31) + ('Dado Bruto'!A:A=51)+ ('Dado Bruto'!A:A=71)+ ('Dado Bruto'!A:A=91), "Não encontrado")</f>
        <v>11</v>
      </c>
      <c r="C62" t="str">
        <v>-&gt;</v>
      </c>
      <c r="D62">
        <v>0</v>
      </c>
      <c r="E62" t="str">
        <v>E0</v>
      </c>
      <c r="F62">
        <v>0.2442</v>
      </c>
      <c r="G62">
        <v>0.22040000000000001</v>
      </c>
      <c r="H62" t="str">
        <v>E1</v>
      </c>
      <c r="I62">
        <v>0.74909999999999999</v>
      </c>
      <c r="J62">
        <v>0.57679999999999998</v>
      </c>
      <c r="K62" t="str">
        <v>E2</v>
      </c>
      <c r="L62">
        <v>0.24360000000000001</v>
      </c>
      <c r="M62">
        <v>0.21390000000000001</v>
      </c>
      <c r="N62" t="str">
        <v>E3</v>
      </c>
      <c r="O62">
        <v>0.75890000000000002</v>
      </c>
      <c r="P62">
        <v>0.57010000000000005</v>
      </c>
      <c r="Q62" t="str">
        <v>E4</v>
      </c>
      <c r="R62">
        <v>0.1076</v>
      </c>
      <c r="S62">
        <v>9.4299999999999995E-2</v>
      </c>
      <c r="T62" t="str">
        <v>E5</v>
      </c>
      <c r="U62">
        <v>0.9839</v>
      </c>
      <c r="V62">
        <v>0.76570000000000005</v>
      </c>
      <c r="W62" t="str">
        <v>E6</v>
      </c>
      <c r="X62">
        <v>0.24510000000000001</v>
      </c>
      <c r="Y62">
        <v>0.22020000000000001</v>
      </c>
      <c r="Z62" t="str">
        <v>E7</v>
      </c>
      <c r="AA62">
        <v>0.75649999999999995</v>
      </c>
      <c r="AB62">
        <v>0.56689999999999996</v>
      </c>
      <c r="AC62">
        <v>0.67869999999999997</v>
      </c>
    </row>
    <row r="63" spans="1:29" x14ac:dyDescent="0.25">
      <c r="B63">
        <v>31</v>
      </c>
      <c r="C63" t="str">
        <v>-&gt;</v>
      </c>
      <c r="D63">
        <v>0</v>
      </c>
      <c r="E63" t="str">
        <v>E0</v>
      </c>
      <c r="F63">
        <v>0.25080000000000002</v>
      </c>
      <c r="G63">
        <v>0.2283</v>
      </c>
      <c r="H63" t="str">
        <v>E1</v>
      </c>
      <c r="I63">
        <v>0.75560000000000005</v>
      </c>
      <c r="J63">
        <v>0.57479999999999998</v>
      </c>
      <c r="K63" t="str">
        <v>E2</v>
      </c>
      <c r="L63">
        <v>0.2437</v>
      </c>
      <c r="M63">
        <v>0.22109999999999999</v>
      </c>
      <c r="N63" t="str">
        <v>E3</v>
      </c>
      <c r="O63">
        <v>0.75639999999999996</v>
      </c>
      <c r="P63">
        <v>0.57709999999999995</v>
      </c>
      <c r="Q63" t="str">
        <v>E4</v>
      </c>
      <c r="R63">
        <v>0.1046</v>
      </c>
      <c r="S63">
        <v>9.0700000000000003E-2</v>
      </c>
      <c r="T63" t="str">
        <v>E5</v>
      </c>
      <c r="U63">
        <v>0.98640000000000005</v>
      </c>
      <c r="V63">
        <v>0.7732</v>
      </c>
      <c r="W63" t="str">
        <v>E6</v>
      </c>
      <c r="X63">
        <v>0.24410000000000001</v>
      </c>
      <c r="Y63">
        <v>0.21940000000000001</v>
      </c>
      <c r="Z63" t="str">
        <v>E7</v>
      </c>
      <c r="AA63">
        <v>0.75519999999999998</v>
      </c>
      <c r="AB63">
        <v>0.56679999999999997</v>
      </c>
      <c r="AC63">
        <v>0</v>
      </c>
    </row>
    <row r="64" spans="1:29" x14ac:dyDescent="0.25">
      <c r="B64">
        <v>51</v>
      </c>
      <c r="C64" t="str">
        <v>-&gt;</v>
      </c>
      <c r="D64">
        <v>0</v>
      </c>
      <c r="E64" t="str">
        <v>E0</v>
      </c>
      <c r="F64">
        <v>0.245</v>
      </c>
      <c r="G64">
        <v>0.2238</v>
      </c>
      <c r="H64" t="str">
        <v>E1</v>
      </c>
      <c r="I64">
        <v>0.7571</v>
      </c>
      <c r="J64">
        <v>0.57650000000000001</v>
      </c>
      <c r="K64" t="str">
        <v>E2</v>
      </c>
      <c r="L64">
        <v>0.24529999999999999</v>
      </c>
      <c r="M64">
        <v>0.22009999999999999</v>
      </c>
      <c r="N64" t="str">
        <v>E3</v>
      </c>
      <c r="O64">
        <v>0.75119999999999998</v>
      </c>
      <c r="P64">
        <v>0.57689999999999997</v>
      </c>
      <c r="Q64" t="str">
        <v>E4</v>
      </c>
      <c r="R64">
        <v>0.1074</v>
      </c>
      <c r="S64">
        <v>9.5600000000000004E-2</v>
      </c>
      <c r="T64" t="str">
        <v>E5</v>
      </c>
      <c r="U64">
        <v>0.99629999999999996</v>
      </c>
      <c r="V64">
        <v>0.77859999999999996</v>
      </c>
      <c r="W64" t="str">
        <v>E6</v>
      </c>
      <c r="X64">
        <v>0.2447</v>
      </c>
      <c r="Y64">
        <v>0.22509999999999999</v>
      </c>
      <c r="Z64" t="str">
        <v>E7</v>
      </c>
      <c r="AA64">
        <v>0.76180000000000003</v>
      </c>
      <c r="AB64">
        <v>0.57499999999999996</v>
      </c>
      <c r="AC64">
        <v>0.31490000000000001</v>
      </c>
    </row>
    <row r="65" spans="1:29" x14ac:dyDescent="0.25">
      <c r="B65">
        <v>71</v>
      </c>
      <c r="C65" t="str">
        <v>-&gt;</v>
      </c>
      <c r="D65">
        <v>0</v>
      </c>
      <c r="E65" t="str">
        <v>E0</v>
      </c>
      <c r="F65">
        <v>0.24110000000000001</v>
      </c>
      <c r="G65">
        <v>0.22500000000000001</v>
      </c>
      <c r="H65" t="str">
        <v>E1</v>
      </c>
      <c r="I65">
        <v>0.75560000000000005</v>
      </c>
      <c r="J65">
        <v>0.58579999999999999</v>
      </c>
      <c r="K65" t="str">
        <v>E2</v>
      </c>
      <c r="L65">
        <v>0.24429999999999999</v>
      </c>
      <c r="M65">
        <v>0.22409999999999999</v>
      </c>
      <c r="N65" t="str">
        <v>E3</v>
      </c>
      <c r="O65">
        <v>0.7571</v>
      </c>
      <c r="P65">
        <v>0.5746</v>
      </c>
      <c r="Q65" t="str">
        <v>E4</v>
      </c>
      <c r="R65">
        <v>0.10440000000000001</v>
      </c>
      <c r="S65">
        <v>9.5100000000000004E-2</v>
      </c>
      <c r="T65" t="str">
        <v>E5</v>
      </c>
      <c r="U65">
        <v>0.98580000000000001</v>
      </c>
      <c r="V65">
        <v>0.76939999999999997</v>
      </c>
      <c r="W65" t="str">
        <v>E6</v>
      </c>
      <c r="X65">
        <v>0.24340000000000001</v>
      </c>
      <c r="Y65">
        <v>0.22140000000000001</v>
      </c>
      <c r="Z65" t="str">
        <v>E7</v>
      </c>
      <c r="AA65">
        <v>0.75409999999999999</v>
      </c>
      <c r="AB65">
        <v>0.57240000000000002</v>
      </c>
      <c r="AC65">
        <v>0</v>
      </c>
    </row>
    <row r="66" spans="1:29" x14ac:dyDescent="0.25">
      <c r="B66">
        <v>91</v>
      </c>
      <c r="C66" t="str">
        <v>-&gt;</v>
      </c>
      <c r="D66">
        <v>0</v>
      </c>
      <c r="E66" t="str">
        <v>E0</v>
      </c>
      <c r="F66">
        <v>0.2457</v>
      </c>
      <c r="G66">
        <v>0.2215</v>
      </c>
      <c r="H66" t="str">
        <v>E1</v>
      </c>
      <c r="I66">
        <v>0.77070000000000005</v>
      </c>
      <c r="J66">
        <v>0.58660000000000001</v>
      </c>
      <c r="K66" t="str">
        <v>E2</v>
      </c>
      <c r="L66">
        <v>0.24590000000000001</v>
      </c>
      <c r="M66">
        <v>0.22220000000000001</v>
      </c>
      <c r="N66" t="str">
        <v>E3</v>
      </c>
      <c r="O66">
        <v>0.75529999999999997</v>
      </c>
      <c r="P66">
        <v>0.5746</v>
      </c>
      <c r="Q66" t="str">
        <v>E4</v>
      </c>
      <c r="R66">
        <v>0.1037</v>
      </c>
      <c r="S66">
        <v>9.6199999999999994E-2</v>
      </c>
      <c r="T66" t="str">
        <v>E5</v>
      </c>
      <c r="U66">
        <v>0.98960000000000004</v>
      </c>
      <c r="V66">
        <v>0.77390000000000003</v>
      </c>
      <c r="W66" t="str">
        <v>E6</v>
      </c>
      <c r="X66">
        <v>0.24929999999999999</v>
      </c>
      <c r="Y66">
        <v>0.22270000000000001</v>
      </c>
      <c r="Z66" t="str">
        <v>E7</v>
      </c>
      <c r="AA66">
        <v>0.754</v>
      </c>
      <c r="AB66">
        <v>0.56810000000000005</v>
      </c>
      <c r="AC66">
        <v>0</v>
      </c>
    </row>
    <row r="67" spans="1:29" s="4" customFormat="1" x14ac:dyDescent="0.25">
      <c r="A67" t="s">
        <v>23</v>
      </c>
      <c r="B67"/>
      <c r="C67"/>
      <c r="D67"/>
      <c r="E67"/>
      <c r="F67">
        <f>AVERAGE(F62:F66)</f>
        <v>0.24535999999999997</v>
      </c>
      <c r="G67">
        <f t="shared" ref="G67" si="160">AVERAGE(G62:G66)</f>
        <v>0.2238</v>
      </c>
      <c r="H67"/>
      <c r="I67">
        <f t="shared" ref="I67" si="161">AVERAGE(I62:I66)</f>
        <v>0.75762000000000007</v>
      </c>
      <c r="J67">
        <f t="shared" ref="J67" si="162">AVERAGE(J62:J66)</f>
        <v>0.58010000000000006</v>
      </c>
      <c r="K67"/>
      <c r="L67">
        <f t="shared" ref="L67" si="163">AVERAGE(L62:L66)</f>
        <v>0.24455999999999997</v>
      </c>
      <c r="M67">
        <f t="shared" ref="M67" si="164">AVERAGE(M62:M66)</f>
        <v>0.22027999999999998</v>
      </c>
      <c r="N67"/>
      <c r="O67">
        <f t="shared" ref="O67" si="165">AVERAGE(O62:O66)</f>
        <v>0.7557799999999999</v>
      </c>
      <c r="P67">
        <f t="shared" ref="P67" si="166">AVERAGE(P62:P66)</f>
        <v>0.57466000000000006</v>
      </c>
      <c r="Q67"/>
      <c r="R67">
        <f t="shared" ref="R67" si="167">AVERAGE(R62:R66)</f>
        <v>0.10553999999999999</v>
      </c>
      <c r="S67">
        <f t="shared" ref="S67" si="168">AVERAGE(S62:S66)</f>
        <v>9.4380000000000006E-2</v>
      </c>
      <c r="T67"/>
      <c r="U67">
        <f t="shared" ref="U67" si="169">AVERAGE(U62:U66)</f>
        <v>0.98840000000000006</v>
      </c>
      <c r="V67">
        <f t="shared" ref="V67" si="170">AVERAGE(V62:V66)</f>
        <v>0.77216000000000007</v>
      </c>
      <c r="W67"/>
      <c r="X67">
        <f t="shared" ref="X67" si="171">AVERAGE(X62:X66)</f>
        <v>0.24532000000000004</v>
      </c>
      <c r="Y67">
        <f t="shared" ref="Y67" si="172">AVERAGE(Y62:Y66)</f>
        <v>0.22176000000000001</v>
      </c>
      <c r="Z67"/>
      <c r="AA67">
        <f t="shared" ref="AA67" si="173">AVERAGE(AA62:AA66)</f>
        <v>0.75631999999999988</v>
      </c>
      <c r="AB67">
        <f t="shared" ref="AB67" si="174">AVERAGE(AB62:AB66)</f>
        <v>0.5698399999999999</v>
      </c>
    </row>
    <row r="68" spans="1:29" s="4" customFormat="1" x14ac:dyDescent="0.25">
      <c r="A68" s="4" t="s">
        <v>25</v>
      </c>
      <c r="F68" s="4">
        <f>_xlfn.STDEV.P(F62:F66)</f>
        <v>3.1410826159144613E-3</v>
      </c>
      <c r="G68" s="4">
        <f t="shared" ref="G68" si="175">_xlfn.STDEV.P(G62:G66)</f>
        <v>2.7763285108214387E-3</v>
      </c>
      <c r="I68" s="4">
        <f t="shared" ref="I68:J68" si="176">_xlfn.STDEV.P(I62:I66)</f>
        <v>7.1008168544189499E-3</v>
      </c>
      <c r="J68" s="4">
        <f t="shared" si="176"/>
        <v>5.0334878563477285E-3</v>
      </c>
      <c r="L68" s="4">
        <f t="shared" ref="L68:M68" si="177">_xlfn.STDEV.P(L62:L66)</f>
        <v>9.0244113381427707E-4</v>
      </c>
      <c r="M68" s="4">
        <f t="shared" si="177"/>
        <v>3.4550832117331092E-3</v>
      </c>
      <c r="O68" s="4">
        <f t="shared" ref="O68:P68" si="178">_xlfn.STDEV.P(O62:O66)</f>
        <v>2.5716920499935557E-3</v>
      </c>
      <c r="P68" s="4">
        <f t="shared" si="178"/>
        <v>2.5207935258564568E-3</v>
      </c>
      <c r="R68" s="4">
        <f t="shared" ref="R68:S68" si="179">_xlfn.STDEV.P(R62:R66)</f>
        <v>1.6292329483533026E-3</v>
      </c>
      <c r="S68" s="4">
        <f t="shared" si="179"/>
        <v>1.9425756098540915E-3</v>
      </c>
      <c r="U68" s="4">
        <f t="shared" ref="U68:V68" si="180">_xlfn.STDEV.P(U62:U66)</f>
        <v>4.3556859390915517E-3</v>
      </c>
      <c r="V68" s="4">
        <f t="shared" si="180"/>
        <v>4.3573386372876529E-3</v>
      </c>
      <c r="X68" s="4">
        <f t="shared" ref="X68:Y68" si="181">_xlfn.STDEV.P(X62:X66)</f>
        <v>2.0711349545599338E-3</v>
      </c>
      <c r="Y68" s="4">
        <f t="shared" si="181"/>
        <v>2.0085815890822007E-3</v>
      </c>
      <c r="AA68" s="4">
        <f t="shared" ref="AA68:AB68" si="182">_xlfn.STDEV.P(AA62:AA66)</f>
        <v>2.8854115824263403E-3</v>
      </c>
      <c r="AB68" s="4">
        <f t="shared" si="182"/>
        <v>3.2891336245278904E-3</v>
      </c>
    </row>
    <row r="69" spans="1:29" s="4" customFormat="1" x14ac:dyDescent="0.25">
      <c r="A69" s="4" t="s">
        <v>26</v>
      </c>
      <c r="F69" s="1">
        <f>20*LOG10(F67/F68)</f>
        <v>37.854488074569005</v>
      </c>
      <c r="G69" s="1">
        <f>20*LOG10(G67/G68)</f>
        <v>38.127784584012481</v>
      </c>
      <c r="H69" s="1"/>
      <c r="I69" s="1">
        <f t="shared" ref="I69" si="183">20*LOG10(I67/I68)</f>
        <v>40.562862389233949</v>
      </c>
      <c r="J69" s="1">
        <f t="shared" ref="J69" si="184">20*LOG10(J67/J68)</f>
        <v>41.232676805713375</v>
      </c>
      <c r="K69" s="1"/>
      <c r="L69" s="1">
        <f t="shared" ref="L69" si="185">20*LOG10(L67/L68)</f>
        <v>48.659330864433826</v>
      </c>
      <c r="M69" s="1">
        <f t="shared" ref="M69" si="186">20*LOG10(M67/M68)</f>
        <v>36.090331129729677</v>
      </c>
      <c r="N69" s="1"/>
      <c r="O69" s="1">
        <f t="shared" ref="O69" si="187">20*LOG10(O67/O68)</f>
        <v>49.363528656135529</v>
      </c>
      <c r="P69" s="1">
        <f t="shared" ref="P69" si="188">20*LOG10(P67/P68)</f>
        <v>47.157473875001969</v>
      </c>
      <c r="Q69" s="1"/>
      <c r="R69" s="1">
        <f t="shared" ref="R69" si="189">20*LOG10(R67/R68)</f>
        <v>36.228678110019253</v>
      </c>
      <c r="S69" s="1">
        <f t="shared" ref="S69" si="190">20*LOG10(S67/S68)</f>
        <v>33.73004082776216</v>
      </c>
      <c r="T69" s="1"/>
      <c r="U69" s="1">
        <f t="shared" ref="U69" si="191">20*LOG10(U67/U68)</f>
        <v>47.117523574802533</v>
      </c>
      <c r="V69" s="1">
        <f t="shared" ref="V69" si="192">20*LOG10(V67/V68)</f>
        <v>44.969719742326852</v>
      </c>
      <c r="W69" s="1"/>
      <c r="X69" s="1">
        <f t="shared" ref="X69" si="193">20*LOG10(X67/X68)</f>
        <v>41.470491153921081</v>
      </c>
      <c r="Y69" s="1">
        <f t="shared" ref="Y69" si="194">20*LOG10(Y67/Y68)</f>
        <v>40.85987470712351</v>
      </c>
      <c r="Z69" s="1"/>
      <c r="AA69" s="1">
        <f t="shared" ref="AA69" si="195">20*LOG10(AA67/AA68)</f>
        <v>48.369956283640072</v>
      </c>
      <c r="AB69" s="1">
        <f t="shared" ref="AB69" si="196">20*LOG10(AB67/AB68)</f>
        <v>44.773428276467371</v>
      </c>
      <c r="AC69" s="1">
        <f>AVERAGE(F69:AB69)</f>
        <v>42.285511815930782</v>
      </c>
    </row>
    <row r="70" spans="1:29" s="3" customFormat="1" x14ac:dyDescent="0.25">
      <c r="A70" s="3" t="s">
        <v>24</v>
      </c>
      <c r="F70" s="7">
        <v>0.26979999999999998</v>
      </c>
      <c r="G70" s="6">
        <v>0.26879999999999998</v>
      </c>
      <c r="H70" s="7"/>
      <c r="I70" s="7">
        <v>0.79349999999999998</v>
      </c>
      <c r="J70" s="7">
        <v>0.69550000000000001</v>
      </c>
      <c r="K70" s="7"/>
      <c r="L70" s="7">
        <v>0.26979999999999998</v>
      </c>
      <c r="M70" s="6">
        <v>0.26879999999999998</v>
      </c>
      <c r="N70" s="7"/>
      <c r="O70" s="7">
        <v>0.79349999999999998</v>
      </c>
      <c r="P70" s="7">
        <v>0.69550000000000001</v>
      </c>
      <c r="Q70" s="7"/>
      <c r="R70" s="6">
        <v>0.13200000000000001</v>
      </c>
      <c r="S70" s="7">
        <v>0.13150000000000001</v>
      </c>
      <c r="T70" s="7"/>
      <c r="U70" s="7">
        <v>1.0395000000000001</v>
      </c>
      <c r="V70" s="7">
        <v>0.93049999999999999</v>
      </c>
      <c r="W70" s="7"/>
      <c r="X70" s="7">
        <v>0.26979999999999998</v>
      </c>
      <c r="Y70" s="6">
        <v>0.26879999999999998</v>
      </c>
      <c r="Z70" s="7"/>
      <c r="AA70" s="7">
        <v>0.79349999999999998</v>
      </c>
      <c r="AB70" s="7">
        <v>0.69550000000000001</v>
      </c>
    </row>
    <row r="71" spans="1:29" s="5" customFormat="1" x14ac:dyDescent="0.25">
      <c r="A71" s="5" t="s">
        <v>30</v>
      </c>
      <c r="F71" s="5">
        <f>1-((F70-F67)/F67)</f>
        <v>0.90039126181936735</v>
      </c>
      <c r="G71" s="5">
        <f t="shared" ref="G71" si="197">1-((G70-G67)/G67)</f>
        <v>0.79892761394101885</v>
      </c>
      <c r="I71" s="5">
        <f t="shared" ref="I71" si="198">1-((I70-I67)/I67)</f>
        <v>0.95264116575591995</v>
      </c>
      <c r="J71" s="5">
        <f t="shared" ref="J71" si="199">1-((J70-J67)/J67)</f>
        <v>0.80106878124461312</v>
      </c>
      <c r="L71" s="5">
        <f t="shared" ref="L71" si="200">1-((L70-L67)/L67)</f>
        <v>0.89679424272162245</v>
      </c>
      <c r="M71" s="5">
        <f t="shared" ref="M71" si="201">1-((M70-M67)/M67)</f>
        <v>0.77973488287633919</v>
      </c>
      <c r="O71" s="5">
        <f t="shared" ref="O71" si="202">1-((O70-O67)/O67)</f>
        <v>0.9500912964090078</v>
      </c>
      <c r="P71" s="5">
        <f t="shared" ref="P71" si="203">1-((P70-P67)/P67)</f>
        <v>0.78971913827306595</v>
      </c>
      <c r="R71" s="5">
        <f t="shared" ref="R71" si="204">1-((R70-R67)/R67)</f>
        <v>0.74928936895963605</v>
      </c>
      <c r="S71" s="5">
        <f t="shared" ref="S71" si="205">1-((S70-S67)/S67)</f>
        <v>0.6066963339690612</v>
      </c>
      <c r="U71" s="5">
        <f t="shared" ref="U71" si="206">1-((U70-U67)/U67)</f>
        <v>0.94830028328611893</v>
      </c>
      <c r="V71" s="5">
        <f t="shared" ref="V71" si="207">1-((V70-V67)/V67)</f>
        <v>0.79493887277248254</v>
      </c>
      <c r="X71" s="5">
        <f t="shared" ref="X71" si="208">1-((X70-X67)/X67)</f>
        <v>0.90021196804174164</v>
      </c>
      <c r="Y71" s="5">
        <f t="shared" ref="Y71" si="209">1-((Y70-Y67)/Y67)</f>
        <v>0.78787878787878807</v>
      </c>
      <c r="AA71" s="5">
        <f t="shared" ref="AA71" si="210">1-((AA70-AA67)/AA67)</f>
        <v>0.95084091389887859</v>
      </c>
      <c r="AB71" s="5">
        <f t="shared" ref="AB71" si="211">1-((AB70-AB67)/AB67)</f>
        <v>0.7794819598483782</v>
      </c>
    </row>
    <row r="73" spans="1:29" x14ac:dyDescent="0.25">
      <c r="A73" s="11" t="s">
        <v>20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</row>
    <row r="74" spans="1:29" x14ac:dyDescent="0.25">
      <c r="B74" cm="1">
        <f t="array" ref="B74:AC78">_xlfn._xlws.FILTER('Dado Bruto'!A:AB, ('Dado Bruto'!A:A=13) + ('Dado Bruto'!A:A=33) + ('Dado Bruto'!A:A=53)+ ('Dado Bruto'!A:A=73)+ ('Dado Bruto'!A:A=93), "Não encontrado")</f>
        <v>13</v>
      </c>
      <c r="C74" t="str">
        <v>-&gt;</v>
      </c>
      <c r="D74">
        <v>0</v>
      </c>
      <c r="E74" t="str">
        <v>E0</v>
      </c>
      <c r="F74">
        <v>0.85670000000000002</v>
      </c>
      <c r="G74">
        <v>0.64359999999999995</v>
      </c>
      <c r="H74" t="str">
        <v>E1</v>
      </c>
      <c r="I74">
        <v>0.34499999999999997</v>
      </c>
      <c r="J74">
        <v>0.30430000000000001</v>
      </c>
      <c r="K74" t="str">
        <v>E2</v>
      </c>
      <c r="L74">
        <v>0.85489999999999999</v>
      </c>
      <c r="M74">
        <v>0.64139999999999997</v>
      </c>
      <c r="N74" t="str">
        <v>E3</v>
      </c>
      <c r="O74">
        <v>0.34620000000000001</v>
      </c>
      <c r="P74">
        <v>0.30359999999999998</v>
      </c>
      <c r="Q74" t="str">
        <v>E4</v>
      </c>
      <c r="R74">
        <v>0.85640000000000005</v>
      </c>
      <c r="S74">
        <v>0.64329999999999998</v>
      </c>
      <c r="T74" t="str">
        <v>E5</v>
      </c>
      <c r="U74">
        <v>0.1042</v>
      </c>
      <c r="V74">
        <v>9.01E-2</v>
      </c>
      <c r="W74" t="str">
        <v>E6</v>
      </c>
      <c r="X74">
        <v>0.91559999999999997</v>
      </c>
      <c r="Y74">
        <v>0.69369999999999998</v>
      </c>
      <c r="Z74" t="str">
        <v>E7</v>
      </c>
      <c r="AA74">
        <v>0.3458</v>
      </c>
      <c r="AB74">
        <v>0.31219999999999998</v>
      </c>
      <c r="AC74">
        <v>0.32219999999999999</v>
      </c>
    </row>
    <row r="75" spans="1:29" x14ac:dyDescent="0.25">
      <c r="B75">
        <v>33</v>
      </c>
      <c r="C75" t="str">
        <v>-&gt;</v>
      </c>
      <c r="D75">
        <v>0</v>
      </c>
      <c r="E75" t="str">
        <v>E0</v>
      </c>
      <c r="F75">
        <v>0.85570000000000002</v>
      </c>
      <c r="G75">
        <v>0.63580000000000003</v>
      </c>
      <c r="H75" t="str">
        <v>E1</v>
      </c>
      <c r="I75">
        <v>0.34489999999999998</v>
      </c>
      <c r="J75">
        <v>0.30130000000000001</v>
      </c>
      <c r="K75" t="str">
        <v>E2</v>
      </c>
      <c r="L75">
        <v>0.85119999999999996</v>
      </c>
      <c r="M75">
        <v>0.63939999999999997</v>
      </c>
      <c r="N75" t="str">
        <v>E3</v>
      </c>
      <c r="O75">
        <v>0.34889999999999999</v>
      </c>
      <c r="P75">
        <v>0.31180000000000002</v>
      </c>
      <c r="Q75" t="str">
        <v>E4</v>
      </c>
      <c r="R75">
        <v>0.85599999999999998</v>
      </c>
      <c r="S75">
        <v>0.64370000000000005</v>
      </c>
      <c r="T75" t="str">
        <v>E5</v>
      </c>
      <c r="U75">
        <v>0.10390000000000001</v>
      </c>
      <c r="V75">
        <v>9.1899999999999996E-2</v>
      </c>
      <c r="W75" t="str">
        <v>E6</v>
      </c>
      <c r="X75">
        <v>0.91410000000000002</v>
      </c>
      <c r="Y75">
        <v>0.69220000000000004</v>
      </c>
      <c r="Z75" t="str">
        <v>E7</v>
      </c>
      <c r="AA75">
        <v>0.3463</v>
      </c>
      <c r="AB75">
        <v>0.31159999999999999</v>
      </c>
      <c r="AC75">
        <v>0</v>
      </c>
    </row>
    <row r="76" spans="1:29" x14ac:dyDescent="0.25">
      <c r="B76">
        <v>53</v>
      </c>
      <c r="C76" t="str">
        <v>-&gt;</v>
      </c>
      <c r="D76">
        <v>0</v>
      </c>
      <c r="E76" t="str">
        <v>E0</v>
      </c>
      <c r="F76">
        <v>0.85299999999999998</v>
      </c>
      <c r="G76">
        <v>0.64319999999999999</v>
      </c>
      <c r="H76" t="str">
        <v>E1</v>
      </c>
      <c r="I76">
        <v>0.34210000000000002</v>
      </c>
      <c r="J76">
        <v>0.30220000000000002</v>
      </c>
      <c r="K76" t="str">
        <v>E2</v>
      </c>
      <c r="L76">
        <v>0.85189999999999999</v>
      </c>
      <c r="M76">
        <v>0.64790000000000003</v>
      </c>
      <c r="N76" t="str">
        <v>E3</v>
      </c>
      <c r="O76">
        <v>0.34370000000000001</v>
      </c>
      <c r="P76">
        <v>0.29799999999999999</v>
      </c>
      <c r="Q76" t="str">
        <v>E4</v>
      </c>
      <c r="R76">
        <v>0.85799999999999998</v>
      </c>
      <c r="S76">
        <v>0.64870000000000005</v>
      </c>
      <c r="T76" t="str">
        <v>E5</v>
      </c>
      <c r="U76">
        <v>0.1051</v>
      </c>
      <c r="V76">
        <v>9.1499999999999998E-2</v>
      </c>
      <c r="W76" t="str">
        <v>E6</v>
      </c>
      <c r="X76">
        <v>0.91779999999999995</v>
      </c>
      <c r="Y76">
        <v>0.68889999999999996</v>
      </c>
      <c r="Z76" t="str">
        <v>E7</v>
      </c>
      <c r="AA76">
        <v>0.34660000000000002</v>
      </c>
      <c r="AB76">
        <v>0.3155</v>
      </c>
      <c r="AC76">
        <v>0.64559999999999995</v>
      </c>
    </row>
    <row r="77" spans="1:29" x14ac:dyDescent="0.25">
      <c r="B77">
        <v>73</v>
      </c>
      <c r="C77" t="str">
        <v>-&gt;</v>
      </c>
      <c r="D77">
        <v>0</v>
      </c>
      <c r="E77" t="str">
        <v>E0</v>
      </c>
      <c r="F77">
        <v>0.85880000000000001</v>
      </c>
      <c r="G77">
        <v>0.64480000000000004</v>
      </c>
      <c r="H77" t="str">
        <v>E1</v>
      </c>
      <c r="I77">
        <v>0.34789999999999999</v>
      </c>
      <c r="J77">
        <v>0.308</v>
      </c>
      <c r="K77" t="str">
        <v>E2</v>
      </c>
      <c r="L77">
        <v>0.84809999999999997</v>
      </c>
      <c r="M77">
        <v>0.65359999999999996</v>
      </c>
      <c r="N77" t="str">
        <v>E3</v>
      </c>
      <c r="O77">
        <v>0.34620000000000001</v>
      </c>
      <c r="P77">
        <v>0.28789999999999999</v>
      </c>
      <c r="Q77" t="str">
        <v>E4</v>
      </c>
      <c r="R77">
        <v>0.85440000000000005</v>
      </c>
      <c r="S77">
        <v>0.64929999999999999</v>
      </c>
      <c r="T77" t="str">
        <v>E5</v>
      </c>
      <c r="U77">
        <v>0.1057</v>
      </c>
      <c r="V77">
        <v>9.3899999999999997E-2</v>
      </c>
      <c r="W77" t="str">
        <v>E6</v>
      </c>
      <c r="X77">
        <v>0.91320000000000001</v>
      </c>
      <c r="Y77">
        <v>0.68840000000000001</v>
      </c>
      <c r="Z77" t="str">
        <v>E7</v>
      </c>
      <c r="AA77">
        <v>0.34499999999999997</v>
      </c>
      <c r="AB77">
        <v>0.313</v>
      </c>
      <c r="AC77">
        <v>0</v>
      </c>
    </row>
    <row r="78" spans="1:29" x14ac:dyDescent="0.25">
      <c r="B78">
        <v>93</v>
      </c>
      <c r="C78" t="str">
        <v>-&gt;</v>
      </c>
      <c r="D78">
        <v>0</v>
      </c>
      <c r="E78" t="str">
        <v>E0</v>
      </c>
      <c r="F78">
        <v>0.85980000000000001</v>
      </c>
      <c r="G78">
        <v>0.63</v>
      </c>
      <c r="H78" t="str">
        <v>E1</v>
      </c>
      <c r="I78">
        <v>0.34449999999999997</v>
      </c>
      <c r="J78">
        <v>0.29899999999999999</v>
      </c>
      <c r="K78" t="str">
        <v>E2</v>
      </c>
      <c r="L78">
        <v>0.85070000000000001</v>
      </c>
      <c r="M78">
        <v>0.63719999999999999</v>
      </c>
      <c r="N78" t="str">
        <v>E3</v>
      </c>
      <c r="O78">
        <v>0.34860000000000002</v>
      </c>
      <c r="P78">
        <v>0.30609999999999998</v>
      </c>
      <c r="Q78" t="str">
        <v>E4</v>
      </c>
      <c r="R78">
        <v>0.85560000000000003</v>
      </c>
      <c r="S78">
        <v>0.64149999999999996</v>
      </c>
      <c r="T78" t="str">
        <v>E5</v>
      </c>
      <c r="U78">
        <v>0.1046</v>
      </c>
      <c r="V78">
        <v>9.1700000000000004E-2</v>
      </c>
      <c r="W78" t="str">
        <v>E6</v>
      </c>
      <c r="X78">
        <v>0.91720000000000002</v>
      </c>
      <c r="Y78">
        <v>0.6925</v>
      </c>
      <c r="Z78" t="str">
        <v>E7</v>
      </c>
      <c r="AA78">
        <v>0.35160000000000002</v>
      </c>
      <c r="AB78">
        <v>0.31730000000000003</v>
      </c>
      <c r="AC78">
        <v>0</v>
      </c>
    </row>
    <row r="79" spans="1:29" s="4" customFormat="1" x14ac:dyDescent="0.25">
      <c r="A79" t="s">
        <v>23</v>
      </c>
      <c r="B79"/>
      <c r="C79"/>
      <c r="D79"/>
      <c r="E79"/>
      <c r="F79">
        <f>AVERAGE(F74:F78)</f>
        <v>0.85680000000000012</v>
      </c>
      <c r="G79">
        <f t="shared" ref="G79" si="212">AVERAGE(G74:G78)</f>
        <v>0.63948000000000005</v>
      </c>
      <c r="H79"/>
      <c r="I79">
        <f t="shared" ref="I79" si="213">AVERAGE(I74:I78)</f>
        <v>0.34488000000000002</v>
      </c>
      <c r="J79">
        <f t="shared" ref="J79" si="214">AVERAGE(J74:J78)</f>
        <v>0.30296000000000001</v>
      </c>
      <c r="K79"/>
      <c r="L79">
        <f t="shared" ref="L79" si="215">AVERAGE(L74:L78)</f>
        <v>0.85136000000000001</v>
      </c>
      <c r="M79">
        <f t="shared" ref="M79" si="216">AVERAGE(M74:M78)</f>
        <v>0.64390000000000003</v>
      </c>
      <c r="N79"/>
      <c r="O79">
        <f t="shared" ref="O79" si="217">AVERAGE(O74:O78)</f>
        <v>0.34672000000000003</v>
      </c>
      <c r="P79">
        <f t="shared" ref="P79" si="218">AVERAGE(P74:P78)</f>
        <v>0.30148000000000003</v>
      </c>
      <c r="Q79"/>
      <c r="R79">
        <f t="shared" ref="R79" si="219">AVERAGE(R74:R78)</f>
        <v>0.85608000000000006</v>
      </c>
      <c r="S79">
        <f t="shared" ref="S79" si="220">AVERAGE(S74:S78)</f>
        <v>0.64529999999999998</v>
      </c>
      <c r="T79"/>
      <c r="U79">
        <f t="shared" ref="U79" si="221">AVERAGE(U74:U78)</f>
        <v>0.10470000000000002</v>
      </c>
      <c r="V79">
        <f t="shared" ref="V79" si="222">AVERAGE(V74:V78)</f>
        <v>9.1819999999999985E-2</v>
      </c>
      <c r="W79"/>
      <c r="X79">
        <f t="shared" ref="X79" si="223">AVERAGE(X74:X78)</f>
        <v>0.91557999999999995</v>
      </c>
      <c r="Y79">
        <f t="shared" ref="Y79" si="224">AVERAGE(Y74:Y78)</f>
        <v>0.69113999999999998</v>
      </c>
      <c r="Z79"/>
      <c r="AA79">
        <f t="shared" ref="AA79" si="225">AVERAGE(AA74:AA78)</f>
        <v>0.34706000000000004</v>
      </c>
      <c r="AB79">
        <f t="shared" ref="AB79" si="226">AVERAGE(AB74:AB78)</f>
        <v>0.31391999999999998</v>
      </c>
    </row>
    <row r="80" spans="1:29" s="4" customFormat="1" x14ac:dyDescent="0.25">
      <c r="A80" s="4" t="s">
        <v>25</v>
      </c>
      <c r="F80" s="4">
        <f>_xlfn.STDEV.P(F74:F78)</f>
        <v>2.3941595602632749E-3</v>
      </c>
      <c r="G80" s="4">
        <f t="shared" ref="G80" si="227">_xlfn.STDEV.P(G74:G78)</f>
        <v>5.7013682568309793E-3</v>
      </c>
      <c r="I80" s="4">
        <f t="shared" ref="I80:J80" si="228">_xlfn.STDEV.P(I74:I78)</f>
        <v>1.8443427013437525E-3</v>
      </c>
      <c r="J80" s="4">
        <f t="shared" si="228"/>
        <v>3.0401315760999561E-3</v>
      </c>
      <c r="L80" s="4">
        <f t="shared" ref="L80:M80" si="229">_xlfn.STDEV.P(L74:L78)</f>
        <v>2.1868699092538711E-3</v>
      </c>
      <c r="M80" s="4">
        <f t="shared" si="229"/>
        <v>6.0246161703464574E-3</v>
      </c>
      <c r="O80" s="4">
        <f t="shared" ref="O80:P80" si="230">_xlfn.STDEV.P(O74:O78)</f>
        <v>1.8946239732464054E-3</v>
      </c>
      <c r="P80" s="4">
        <f t="shared" si="230"/>
        <v>8.110092477894449E-3</v>
      </c>
      <c r="R80" s="4">
        <f t="shared" ref="R80:S80" si="231">_xlfn.STDEV.P(R74:R78)</f>
        <v>1.1702991070662054E-3</v>
      </c>
      <c r="S80" s="4">
        <f t="shared" si="231"/>
        <v>3.1164081889252086E-3</v>
      </c>
      <c r="U80" s="4">
        <f t="shared" ref="U80:V80" si="232">_xlfn.STDEV.P(U74:U78)</f>
        <v>6.418722614352474E-4</v>
      </c>
      <c r="V80" s="4">
        <f t="shared" si="232"/>
        <v>1.2172099243762343E-3</v>
      </c>
      <c r="X80" s="4">
        <f t="shared" ref="X80:Y80" si="233">_xlfn.STDEV.P(X74:X78)</f>
        <v>1.7554486605993183E-3</v>
      </c>
      <c r="Y80" s="4">
        <f t="shared" si="233"/>
        <v>2.1000952359357481E-3</v>
      </c>
      <c r="AA80" s="4">
        <f t="shared" ref="AA80:AB80" si="234">_xlfn.STDEV.P(AA74:AA78)</f>
        <v>2.3337523433303851E-3</v>
      </c>
      <c r="AB80" s="4">
        <f t="shared" si="234"/>
        <v>2.1497906874856595E-3</v>
      </c>
    </row>
    <row r="81" spans="1:29" s="4" customFormat="1" x14ac:dyDescent="0.25">
      <c r="A81" s="4" t="s">
        <v>26</v>
      </c>
      <c r="F81" s="1">
        <f>20*LOG10(F79/F80)</f>
        <v>51.074527339222882</v>
      </c>
      <c r="G81" s="1">
        <f>20*LOG10(G79/G80)</f>
        <v>40.996957457645891</v>
      </c>
      <c r="H81" s="1"/>
      <c r="I81" s="1">
        <f t="shared" ref="I81" si="235">20*LOG10(I79/I80)</f>
        <v>45.436527768484645</v>
      </c>
      <c r="J81" s="1">
        <f t="shared" ref="J81" si="236">20*LOG10(J79/J80)</f>
        <v>39.969858238912025</v>
      </c>
      <c r="K81" s="1"/>
      <c r="L81" s="1">
        <f t="shared" ref="L81" si="237">20*LOG10(L79/L80)</f>
        <v>51.805805854660854</v>
      </c>
      <c r="M81" s="1">
        <f t="shared" ref="M81" si="238">20*LOG10(M79/M80)</f>
        <v>40.577780839262878</v>
      </c>
      <c r="N81" s="1"/>
      <c r="O81" s="1">
        <f t="shared" ref="O81" si="239">20*LOG10(O79/O80)</f>
        <v>45.24911731426468</v>
      </c>
      <c r="P81" s="1">
        <f t="shared" ref="P81" si="240">20*LOG10(P79/P80)</f>
        <v>31.404654003603557</v>
      </c>
      <c r="Q81" s="1"/>
      <c r="R81" s="10">
        <f t="shared" ref="R81" si="241">20*LOG10(R79/R80)</f>
        <v>57.284349547668555</v>
      </c>
      <c r="S81" s="10">
        <f t="shared" ref="S81" si="242">20*LOG10(S79/S80)</f>
        <v>46.322146564830632</v>
      </c>
      <c r="T81" s="10"/>
      <c r="U81" s="10">
        <f t="shared" ref="U81" si="243">20*LOG10(U79/U80)</f>
        <v>44.24996147324552</v>
      </c>
      <c r="V81" s="10">
        <f t="shared" ref="V81" si="244">20*LOG10(V79/V80)</f>
        <v>37.551436075221453</v>
      </c>
      <c r="W81" s="1"/>
      <c r="X81" s="1">
        <f t="shared" ref="X81" si="245">20*LOG10(X79/X80)</f>
        <v>54.346163292436174</v>
      </c>
      <c r="Y81" s="1">
        <f t="shared" ref="Y81" si="246">20*LOG10(Y79/Y80)</f>
        <v>50.346540778502188</v>
      </c>
      <c r="Z81" s="1"/>
      <c r="AA81" s="1">
        <f t="shared" ref="AA81" si="247">20*LOG10(AA79/AA80)</f>
        <v>43.446995908236389</v>
      </c>
      <c r="AB81" s="1">
        <f t="shared" ref="AB81" si="248">20*LOG10(AB79/AB80)</f>
        <v>43.288456168663465</v>
      </c>
      <c r="AC81" s="1">
        <f>AVERAGE(F81:AB81)</f>
        <v>45.209454914053865</v>
      </c>
    </row>
    <row r="82" spans="1:29" s="3" customFormat="1" x14ac:dyDescent="0.25">
      <c r="A82" s="3" t="s">
        <v>24</v>
      </c>
      <c r="F82" s="7">
        <v>0.90180000000000005</v>
      </c>
      <c r="G82" s="7">
        <v>0.79820000000000002</v>
      </c>
      <c r="H82" s="7"/>
      <c r="I82" s="7">
        <v>0.37809999999999999</v>
      </c>
      <c r="J82" s="6">
        <v>0.37659999999999999</v>
      </c>
      <c r="K82" s="7"/>
      <c r="L82" s="7">
        <v>0.90180000000000005</v>
      </c>
      <c r="M82" s="7">
        <v>0.79820000000000002</v>
      </c>
      <c r="N82" s="7"/>
      <c r="O82" s="7">
        <v>0.37809999999999999</v>
      </c>
      <c r="P82" s="6">
        <v>0.37659999999999999</v>
      </c>
      <c r="Q82" s="7"/>
      <c r="R82" s="7">
        <v>0.90180000000000005</v>
      </c>
      <c r="S82" s="7">
        <v>0.79820000000000002</v>
      </c>
      <c r="T82" s="7"/>
      <c r="U82" s="6">
        <v>0.13200000000000001</v>
      </c>
      <c r="V82" s="7">
        <v>0.13150000000000001</v>
      </c>
      <c r="W82" s="7"/>
      <c r="X82" s="7">
        <v>0.95299999999999996</v>
      </c>
      <c r="Y82" s="7">
        <v>0.84719999999999995</v>
      </c>
      <c r="Z82" s="7"/>
      <c r="AA82" s="7">
        <v>0.37809999999999999</v>
      </c>
      <c r="AB82" s="6">
        <v>0.37659999999999999</v>
      </c>
    </row>
    <row r="83" spans="1:29" s="5" customFormat="1" x14ac:dyDescent="0.25">
      <c r="A83" s="5" t="s">
        <v>30</v>
      </c>
      <c r="F83" s="5">
        <f>1-((F82-F79)/F79)</f>
        <v>0.94747899159663873</v>
      </c>
      <c r="G83" s="5">
        <f t="shared" ref="G83" si="249">1-((G82-G79)/G79)</f>
        <v>0.75179833614812042</v>
      </c>
      <c r="I83" s="5">
        <f t="shared" ref="I83" si="250">1-((I82-I79)/I79)</f>
        <v>0.90367664115054525</v>
      </c>
      <c r="J83" s="5">
        <f t="shared" ref="J83" si="251">1-((J82-J79)/J79)</f>
        <v>0.75693160813308691</v>
      </c>
      <c r="L83" s="5">
        <f t="shared" ref="L83" si="252">1-((L82-L79)/L79)</f>
        <v>0.94075361774102606</v>
      </c>
      <c r="M83" s="5">
        <f t="shared" ref="M83" si="253">1-((M82-M79)/M79)</f>
        <v>0.76036651653983545</v>
      </c>
      <c r="O83" s="5">
        <f t="shared" ref="O83" si="254">1-((O82-O79)/O79)</f>
        <v>0.90949469312413489</v>
      </c>
      <c r="P83" s="5">
        <f t="shared" ref="P83" si="255">1-((P82-P79)/P79)</f>
        <v>0.75082924240413973</v>
      </c>
      <c r="R83" s="5">
        <f t="shared" ref="R83" si="256">1-((R82-R79)/R79)</f>
        <v>0.94659377628259045</v>
      </c>
      <c r="S83" s="5">
        <f t="shared" ref="S83" si="257">1-((S82-S79)/S79)</f>
        <v>0.76305594297226087</v>
      </c>
      <c r="U83" s="5">
        <f t="shared" ref="U83" si="258">1-((U82-U79)/U79)</f>
        <v>0.73925501432664764</v>
      </c>
      <c r="V83" s="5">
        <f t="shared" ref="V83" si="259">1-((V82-V79)/V79)</f>
        <v>0.56785014158135461</v>
      </c>
      <c r="X83" s="5">
        <f t="shared" ref="X83" si="260">1-((X82-X79)/X79)</f>
        <v>0.95912973197317541</v>
      </c>
      <c r="Y83" s="5">
        <f t="shared" ref="Y83" si="261">1-((Y82-Y79)/Y79)</f>
        <v>0.77419914923170419</v>
      </c>
      <c r="AA83" s="5">
        <f t="shared" ref="AA83" si="262">1-((AA82-AA79)/AA79)</f>
        <v>0.91056301504062709</v>
      </c>
      <c r="AB83" s="5">
        <f t="shared" ref="AB83" si="263">1-((AB82-AB79)/AB79)</f>
        <v>0.80033129459734953</v>
      </c>
    </row>
    <row r="85" spans="1:29" x14ac:dyDescent="0.25">
      <c r="A85" s="11" t="s">
        <v>21</v>
      </c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</row>
    <row r="86" spans="1:29" x14ac:dyDescent="0.25">
      <c r="B86" cm="1">
        <f t="array" ref="B86:AC90">_xlfn._xlws.FILTER('Dado Bruto'!A:AB, ('Dado Bruto'!A:A=15) + ('Dado Bruto'!A:A=35) + ('Dado Bruto'!A:A=55)+ ('Dado Bruto'!A:A=75)+ ('Dado Bruto'!A:A=95), "Não encontrado")</f>
        <v>15</v>
      </c>
      <c r="C86" t="str">
        <v>-&gt;</v>
      </c>
      <c r="D86">
        <v>0</v>
      </c>
      <c r="E86" t="str">
        <v>E0</v>
      </c>
      <c r="F86">
        <v>0.17130000000000001</v>
      </c>
      <c r="G86">
        <v>0.1623</v>
      </c>
      <c r="H86" t="str">
        <v>E1</v>
      </c>
      <c r="I86">
        <v>0.68200000000000005</v>
      </c>
      <c r="J86">
        <v>0.50439999999999996</v>
      </c>
      <c r="K86" t="str">
        <v>E2</v>
      </c>
      <c r="L86">
        <v>0.16789999999999999</v>
      </c>
      <c r="M86">
        <v>0.14979999999999999</v>
      </c>
      <c r="N86" t="str">
        <v>E3</v>
      </c>
      <c r="O86">
        <v>0.68230000000000002</v>
      </c>
      <c r="P86">
        <v>0.50639999999999996</v>
      </c>
      <c r="Q86" t="str">
        <v>E4</v>
      </c>
      <c r="R86">
        <v>0.16969999999999999</v>
      </c>
      <c r="S86">
        <v>0.15260000000000001</v>
      </c>
      <c r="T86" t="str">
        <v>E5</v>
      </c>
      <c r="U86">
        <v>0.67969999999999997</v>
      </c>
      <c r="V86">
        <v>0.50160000000000005</v>
      </c>
      <c r="W86" t="str">
        <v>E6</v>
      </c>
      <c r="X86">
        <v>0.1055</v>
      </c>
      <c r="Y86">
        <v>9.3200000000000005E-2</v>
      </c>
      <c r="Z86" t="str">
        <v>E7</v>
      </c>
      <c r="AA86">
        <v>1.018</v>
      </c>
      <c r="AB86">
        <v>0.79020000000000001</v>
      </c>
      <c r="AC86">
        <v>0.86739999999999995</v>
      </c>
    </row>
    <row r="87" spans="1:29" x14ac:dyDescent="0.25">
      <c r="B87">
        <v>35</v>
      </c>
      <c r="C87" t="str">
        <v>-&gt;</v>
      </c>
      <c r="D87">
        <v>0</v>
      </c>
      <c r="E87" t="str">
        <v>E0</v>
      </c>
      <c r="F87">
        <v>0.16869999999999999</v>
      </c>
      <c r="G87">
        <v>0.16220000000000001</v>
      </c>
      <c r="H87" t="str">
        <v>E1</v>
      </c>
      <c r="I87">
        <v>0.68179999999999996</v>
      </c>
      <c r="J87">
        <v>0.49809999999999999</v>
      </c>
      <c r="K87" t="str">
        <v>E2</v>
      </c>
      <c r="L87">
        <v>0.17130000000000001</v>
      </c>
      <c r="M87">
        <v>0.15260000000000001</v>
      </c>
      <c r="N87" t="str">
        <v>E3</v>
      </c>
      <c r="O87">
        <v>0.68</v>
      </c>
      <c r="P87">
        <v>0.502</v>
      </c>
      <c r="Q87" t="str">
        <v>E4</v>
      </c>
      <c r="R87">
        <v>0.17019999999999999</v>
      </c>
      <c r="S87">
        <v>0.15359999999999999</v>
      </c>
      <c r="T87" t="str">
        <v>E5</v>
      </c>
      <c r="U87">
        <v>0.6794</v>
      </c>
      <c r="V87">
        <v>0.50570000000000004</v>
      </c>
      <c r="W87" t="str">
        <v>E6</v>
      </c>
      <c r="X87">
        <v>0.10580000000000001</v>
      </c>
      <c r="Y87">
        <v>9.4200000000000006E-2</v>
      </c>
      <c r="Z87" t="str">
        <v>E7</v>
      </c>
      <c r="AA87">
        <v>1.0189999999999999</v>
      </c>
      <c r="AB87">
        <v>0.78559999999999997</v>
      </c>
      <c r="AC87">
        <v>0</v>
      </c>
    </row>
    <row r="88" spans="1:29" x14ac:dyDescent="0.25">
      <c r="B88">
        <v>55</v>
      </c>
      <c r="C88" t="str">
        <v>-&gt;</v>
      </c>
      <c r="D88">
        <v>0</v>
      </c>
      <c r="E88" t="str">
        <v>E0</v>
      </c>
      <c r="F88">
        <v>0.16689999999999999</v>
      </c>
      <c r="G88">
        <v>0.15540000000000001</v>
      </c>
      <c r="H88" t="str">
        <v>E1</v>
      </c>
      <c r="I88">
        <v>0.6784</v>
      </c>
      <c r="J88">
        <v>0.50380000000000003</v>
      </c>
      <c r="K88" t="str">
        <v>E2</v>
      </c>
      <c r="L88">
        <v>0.16819999999999999</v>
      </c>
      <c r="M88">
        <v>0.1532</v>
      </c>
      <c r="N88" t="str">
        <v>E3</v>
      </c>
      <c r="O88">
        <v>0.68230000000000002</v>
      </c>
      <c r="P88">
        <v>0.50600000000000001</v>
      </c>
      <c r="Q88" t="str">
        <v>E4</v>
      </c>
      <c r="R88">
        <v>0.1694</v>
      </c>
      <c r="S88">
        <v>0.15010000000000001</v>
      </c>
      <c r="T88" t="str">
        <v>E5</v>
      </c>
      <c r="U88">
        <v>0.67920000000000003</v>
      </c>
      <c r="V88">
        <v>0.50409999999999999</v>
      </c>
      <c r="W88" t="str">
        <v>E6</v>
      </c>
      <c r="X88">
        <v>0.1043</v>
      </c>
      <c r="Y88">
        <v>9.3899999999999997E-2</v>
      </c>
      <c r="Z88" t="str">
        <v>E7</v>
      </c>
      <c r="AA88">
        <v>1.0197000000000001</v>
      </c>
      <c r="AB88">
        <v>0.79490000000000005</v>
      </c>
      <c r="AC88">
        <v>0.21759999999999999</v>
      </c>
    </row>
    <row r="89" spans="1:29" x14ac:dyDescent="0.25">
      <c r="B89">
        <v>75</v>
      </c>
      <c r="C89" t="str">
        <v>-&gt;</v>
      </c>
      <c r="D89">
        <v>0</v>
      </c>
      <c r="E89" t="str">
        <v>E0</v>
      </c>
      <c r="F89">
        <v>0.1653</v>
      </c>
      <c r="G89">
        <v>0.16259999999999999</v>
      </c>
      <c r="H89" t="str">
        <v>E1</v>
      </c>
      <c r="I89">
        <v>0.68020000000000003</v>
      </c>
      <c r="J89">
        <v>0.50380000000000003</v>
      </c>
      <c r="K89" t="str">
        <v>E2</v>
      </c>
      <c r="L89">
        <v>0.1681</v>
      </c>
      <c r="M89">
        <v>0.15279999999999999</v>
      </c>
      <c r="N89" t="str">
        <v>E3</v>
      </c>
      <c r="O89">
        <v>0.68110000000000004</v>
      </c>
      <c r="P89">
        <v>0.50649999999999995</v>
      </c>
      <c r="Q89" t="str">
        <v>E4</v>
      </c>
      <c r="R89">
        <v>0.1691</v>
      </c>
      <c r="S89">
        <v>0.14149999999999999</v>
      </c>
      <c r="T89" t="str">
        <v>E5</v>
      </c>
      <c r="U89">
        <v>0.68100000000000005</v>
      </c>
      <c r="V89">
        <v>0.50519999999999998</v>
      </c>
      <c r="W89" t="str">
        <v>E6</v>
      </c>
      <c r="X89">
        <v>0.1053</v>
      </c>
      <c r="Y89">
        <v>9.5600000000000004E-2</v>
      </c>
      <c r="Z89" t="str">
        <v>E7</v>
      </c>
      <c r="AA89">
        <v>1.0154000000000001</v>
      </c>
      <c r="AB89">
        <v>0.78310000000000002</v>
      </c>
      <c r="AC89">
        <v>0</v>
      </c>
    </row>
    <row r="90" spans="1:29" x14ac:dyDescent="0.25">
      <c r="B90">
        <v>95</v>
      </c>
      <c r="C90" t="str">
        <v>-&gt;</v>
      </c>
      <c r="D90">
        <v>0</v>
      </c>
      <c r="E90" t="str">
        <v>E0</v>
      </c>
      <c r="F90">
        <v>0.1714</v>
      </c>
      <c r="G90">
        <v>0.16200000000000001</v>
      </c>
      <c r="H90" t="str">
        <v>E1</v>
      </c>
      <c r="I90">
        <v>0.68230000000000002</v>
      </c>
      <c r="J90">
        <v>0.51170000000000004</v>
      </c>
      <c r="K90" t="str">
        <v>E2</v>
      </c>
      <c r="L90">
        <v>0.1673</v>
      </c>
      <c r="M90">
        <v>0.15490000000000001</v>
      </c>
      <c r="N90" t="str">
        <v>E3</v>
      </c>
      <c r="O90">
        <v>0.67969999999999997</v>
      </c>
      <c r="P90">
        <v>0.5071</v>
      </c>
      <c r="Q90" t="str">
        <v>E4</v>
      </c>
      <c r="R90">
        <v>0.17</v>
      </c>
      <c r="S90">
        <v>0.15290000000000001</v>
      </c>
      <c r="T90" t="str">
        <v>E5</v>
      </c>
      <c r="U90">
        <v>0.67789999999999995</v>
      </c>
      <c r="V90">
        <v>0.50680000000000003</v>
      </c>
      <c r="W90" t="str">
        <v>E6</v>
      </c>
      <c r="X90">
        <v>0.1032</v>
      </c>
      <c r="Y90">
        <v>9.5899999999999999E-2</v>
      </c>
      <c r="Z90" t="str">
        <v>E7</v>
      </c>
      <c r="AA90">
        <v>1.0149999999999999</v>
      </c>
      <c r="AB90">
        <v>0.78310000000000002</v>
      </c>
      <c r="AC90">
        <v>0.69740000000000002</v>
      </c>
    </row>
    <row r="91" spans="1:29" s="4" customFormat="1" x14ac:dyDescent="0.25">
      <c r="A91" t="s">
        <v>23</v>
      </c>
      <c r="B91"/>
      <c r="C91"/>
      <c r="D91"/>
      <c r="E91"/>
      <c r="F91">
        <f>AVERAGE(F86:F90)</f>
        <v>0.16871999999999998</v>
      </c>
      <c r="G91">
        <f t="shared" ref="G91" si="264">AVERAGE(G86:G90)</f>
        <v>0.16089999999999999</v>
      </c>
      <c r="H91"/>
      <c r="I91">
        <f t="shared" ref="I91" si="265">AVERAGE(I86:I90)</f>
        <v>0.68093999999999999</v>
      </c>
      <c r="J91">
        <f t="shared" ref="J91" si="266">AVERAGE(J86:J90)</f>
        <v>0.50435999999999992</v>
      </c>
      <c r="K91"/>
      <c r="L91">
        <f t="shared" ref="L91" si="267">AVERAGE(L86:L90)</f>
        <v>0.16855999999999999</v>
      </c>
      <c r="M91">
        <f t="shared" ref="M91" si="268">AVERAGE(M86:M90)</f>
        <v>0.15266000000000002</v>
      </c>
      <c r="N91"/>
      <c r="O91">
        <f t="shared" ref="O91" si="269">AVERAGE(O86:O90)</f>
        <v>0.68107999999999991</v>
      </c>
      <c r="P91">
        <f t="shared" ref="P91" si="270">AVERAGE(P86:P90)</f>
        <v>0.50560000000000005</v>
      </c>
      <c r="Q91"/>
      <c r="R91">
        <f t="shared" ref="R91" si="271">AVERAGE(R86:R90)</f>
        <v>0.16968</v>
      </c>
      <c r="S91">
        <f t="shared" ref="S91" si="272">AVERAGE(S86:S90)</f>
        <v>0.15014</v>
      </c>
      <c r="T91"/>
      <c r="U91">
        <f t="shared" ref="U91" si="273">AVERAGE(U86:U90)</f>
        <v>0.67943999999999993</v>
      </c>
      <c r="V91">
        <f t="shared" ref="V91" si="274">AVERAGE(V86:V90)</f>
        <v>0.50468000000000002</v>
      </c>
      <c r="W91"/>
      <c r="X91">
        <f t="shared" ref="X91" si="275">AVERAGE(X86:X90)</f>
        <v>0.10482</v>
      </c>
      <c r="Y91">
        <f t="shared" ref="Y91" si="276">AVERAGE(Y86:Y90)</f>
        <v>9.4560000000000005E-2</v>
      </c>
      <c r="Z91"/>
      <c r="AA91">
        <f t="shared" ref="AA91" si="277">AVERAGE(AA86:AA90)</f>
        <v>1.01742</v>
      </c>
      <c r="AB91">
        <f t="shared" ref="AB91" si="278">AVERAGE(AB86:AB90)</f>
        <v>0.78738000000000008</v>
      </c>
    </row>
    <row r="92" spans="1:29" s="4" customFormat="1" x14ac:dyDescent="0.25">
      <c r="A92" s="4" t="s">
        <v>25</v>
      </c>
      <c r="F92" s="4">
        <f>_xlfn.STDEV.P(F86:F90)</f>
        <v>2.40199916736039E-3</v>
      </c>
      <c r="G92" s="4">
        <f t="shared" ref="G92" si="279">_xlfn.STDEV.P(G86:G90)</f>
        <v>2.7568097504180409E-3</v>
      </c>
      <c r="I92" s="4">
        <f t="shared" ref="I92:J92" si="280">_xlfn.STDEV.P(I86:I90)</f>
        <v>1.4636939570825615E-3</v>
      </c>
      <c r="J92" s="4">
        <f t="shared" si="280"/>
        <v>4.3287873590649086E-3</v>
      </c>
      <c r="L92" s="4">
        <f t="shared" ref="L92:M92" si="281">_xlfn.STDEV.P(L86:L90)</f>
        <v>1.4051334456200272E-3</v>
      </c>
      <c r="M92" s="4">
        <f t="shared" si="281"/>
        <v>1.643897807042768E-3</v>
      </c>
      <c r="O92" s="4">
        <f t="shared" ref="O92:P92" si="282">_xlfn.STDEV.P(O86:O90)</f>
        <v>1.0998181667894074E-3</v>
      </c>
      <c r="P92" s="4">
        <f t="shared" si="282"/>
        <v>1.8341210428976505E-3</v>
      </c>
      <c r="R92" s="4">
        <f t="shared" ref="R92:S92" si="283">_xlfn.STDEV.P(R86:R90)</f>
        <v>3.9698866482558404E-4</v>
      </c>
      <c r="S92" s="4">
        <f t="shared" si="283"/>
        <v>4.4786605140376568E-3</v>
      </c>
      <c r="U92" s="4">
        <f t="shared" ref="U92:V92" si="284">_xlfn.STDEV.P(U86:U90)</f>
        <v>9.9317672143484016E-4</v>
      </c>
      <c r="V92" s="4">
        <f t="shared" si="284"/>
        <v>1.7679366504487601E-3</v>
      </c>
      <c r="X92" s="4">
        <f t="shared" ref="X92:Y92" si="285">_xlfn.STDEV.P(X86:X90)</f>
        <v>9.5372952140530972E-4</v>
      </c>
      <c r="Y92" s="4">
        <f t="shared" si="285"/>
        <v>1.0287856919689341E-3</v>
      </c>
      <c r="AA92" s="4">
        <f t="shared" ref="AA92:AB92" si="286">_xlfn.STDEV.P(AA86:AA90)</f>
        <v>1.8956792977716512E-3</v>
      </c>
      <c r="AB92" s="4">
        <f t="shared" si="286"/>
        <v>4.5674500544614751E-3</v>
      </c>
    </row>
    <row r="93" spans="1:29" s="4" customFormat="1" x14ac:dyDescent="0.25">
      <c r="A93" s="4" t="s">
        <v>26</v>
      </c>
      <c r="F93" s="10">
        <f>20*LOG10(F91/F92)</f>
        <v>36.931874284205513</v>
      </c>
      <c r="G93" s="10">
        <f>20*LOG10(G91/G92)</f>
        <v>35.322984959172686</v>
      </c>
      <c r="H93" s="1"/>
      <c r="I93" s="1">
        <f t="shared" ref="I93" si="287">20*LOG10(I91/I92)</f>
        <v>53.353171331241647</v>
      </c>
      <c r="J93" s="1">
        <f t="shared" ref="J93" si="288">20*LOG10(J91/J92)</f>
        <v>41.327487667089173</v>
      </c>
      <c r="K93" s="1"/>
      <c r="L93" s="1">
        <f t="shared" ref="L93" si="289">20*LOG10(L91/L92)</f>
        <v>41.580739028469374</v>
      </c>
      <c r="M93" s="1">
        <f t="shared" ref="M93" si="290">20*LOG10(M91/M92)</f>
        <v>39.357008838642201</v>
      </c>
      <c r="N93" s="1"/>
      <c r="O93" s="1">
        <f t="shared" ref="O93" si="291">20*LOG10(O91/O92)</f>
        <v>55.837544765582265</v>
      </c>
      <c r="P93" s="1">
        <f t="shared" ref="P93" si="292">20*LOG10(P91/P92)</f>
        <v>48.807581434227878</v>
      </c>
      <c r="Q93" s="1"/>
      <c r="R93" s="1">
        <f t="shared" ref="R93" si="293">20*LOG10(R91/R92)</f>
        <v>52.617050978634751</v>
      </c>
      <c r="S93" s="1">
        <f t="shared" ref="S93" si="294">20*LOG10(S91/S92)</f>
        <v>30.506965353974813</v>
      </c>
      <c r="T93" s="1"/>
      <c r="U93" s="1">
        <f t="shared" ref="U93" si="295">20*LOG10(U91/U92)</f>
        <v>56.702491585657171</v>
      </c>
      <c r="V93" s="1">
        <f t="shared" ref="V93" si="296">20*LOG10(V91/V92)</f>
        <v>49.110987905581851</v>
      </c>
      <c r="W93" s="1"/>
      <c r="X93" s="1">
        <f t="shared" ref="X93" si="297">20*LOG10(X91/X92)</f>
        <v>40.820378590534702</v>
      </c>
      <c r="Y93" s="1">
        <f t="shared" ref="Y93" si="298">20*LOG10(Y91/Y92)</f>
        <v>39.267650958949162</v>
      </c>
      <c r="Z93" s="1"/>
      <c r="AA93" s="1">
        <f t="shared" ref="AA93" si="299">20*LOG10(AA91/AA92)</f>
        <v>54.594708065213275</v>
      </c>
      <c r="AB93" s="1">
        <f t="shared" ref="AB93" si="300">20*LOG10(AB91/AB92)</f>
        <v>44.730211444334529</v>
      </c>
      <c r="AC93" s="10">
        <f>AVERAGE(F93:AB93)</f>
        <v>45.054302324469433</v>
      </c>
    </row>
    <row r="94" spans="1:29" s="3" customFormat="1" x14ac:dyDescent="0.25">
      <c r="A94" s="3" t="s">
        <v>24</v>
      </c>
      <c r="F94" s="7">
        <v>0.1832</v>
      </c>
      <c r="G94" s="7">
        <v>0.1825</v>
      </c>
      <c r="H94" s="7"/>
      <c r="I94" s="7">
        <v>0.70699999999999996</v>
      </c>
      <c r="J94" s="7">
        <v>0.61470000000000002</v>
      </c>
      <c r="K94" s="7"/>
      <c r="L94" s="7">
        <v>0.1832</v>
      </c>
      <c r="M94" s="7">
        <v>0.1825</v>
      </c>
      <c r="N94" s="7"/>
      <c r="O94" s="7">
        <v>0.70699999999999996</v>
      </c>
      <c r="P94" s="7">
        <v>0.61470000000000002</v>
      </c>
      <c r="Q94" s="7"/>
      <c r="R94" s="7">
        <v>0.1832</v>
      </c>
      <c r="S94" s="7">
        <v>0.1825</v>
      </c>
      <c r="T94" s="7"/>
      <c r="U94" s="7">
        <v>0.70699999999999996</v>
      </c>
      <c r="V94" s="7">
        <v>0.61470000000000002</v>
      </c>
      <c r="W94" s="7"/>
      <c r="X94" s="6">
        <v>0.13200000000000001</v>
      </c>
      <c r="Y94" s="7">
        <v>0.13150000000000001</v>
      </c>
      <c r="Z94" s="7"/>
      <c r="AA94" s="7">
        <v>1.0658000000000001</v>
      </c>
      <c r="AB94" s="7">
        <v>0.95599999999999996</v>
      </c>
    </row>
    <row r="95" spans="1:29" s="5" customFormat="1" x14ac:dyDescent="0.25">
      <c r="A95" s="5" t="s">
        <v>30</v>
      </c>
      <c r="F95" s="5">
        <f>1-((F94-F91)/F91)</f>
        <v>0.91417733522996669</v>
      </c>
      <c r="G95" s="5">
        <f t="shared" ref="G95" si="301">1-((G94-G91)/G91)</f>
        <v>0.86575512740832816</v>
      </c>
      <c r="I95" s="5">
        <f t="shared" ref="I95" si="302">1-((I94-I91)/I91)</f>
        <v>0.96172937410050818</v>
      </c>
      <c r="J95" s="5">
        <f t="shared" ref="J95" si="303">1-((J94-J91)/J91)</f>
        <v>0.78122769450392548</v>
      </c>
      <c r="L95" s="5">
        <f t="shared" ref="L95" si="304">1-((L94-L91)/L91)</f>
        <v>0.91314665401044126</v>
      </c>
      <c r="M95" s="5">
        <f t="shared" ref="M95" si="305">1-((M94-M91)/M91)</f>
        <v>0.80453294903707606</v>
      </c>
      <c r="O95" s="5">
        <f t="shared" ref="O95" si="306">1-((O94-O91)/O91)</f>
        <v>0.96194279673459793</v>
      </c>
      <c r="P95" s="5">
        <f t="shared" ref="P95" si="307">1-((P94-P91)/P91)</f>
        <v>0.78421677215189878</v>
      </c>
      <c r="R95" s="5">
        <f t="shared" ref="R95" si="308">1-((R94-R91)/R91)</f>
        <v>0.92032060348892031</v>
      </c>
      <c r="S95" s="5">
        <f t="shared" ref="S95" si="309">1-((S94-S91)/S91)</f>
        <v>0.78446783002530973</v>
      </c>
      <c r="U95" s="5">
        <f t="shared" ref="U95" si="310">1-((U94-U91)/U91)</f>
        <v>0.95943718356293417</v>
      </c>
      <c r="V95" s="5">
        <f t="shared" ref="V95" si="311">1-((V94-V91)/V91)</f>
        <v>0.78200047554886265</v>
      </c>
      <c r="X95" s="5">
        <f t="shared" ref="X95" si="312">1-((X94-X91)/X91)</f>
        <v>0.74069834001144808</v>
      </c>
      <c r="Y95" s="5">
        <f t="shared" ref="Y95" si="313">1-((Y94-Y91)/Y91)</f>
        <v>0.60934856175972929</v>
      </c>
      <c r="AA95" s="5">
        <f>1-((+AA94-AA91)/AA91)</f>
        <v>0.95244834974740022</v>
      </c>
      <c r="AB95" s="5">
        <f>1-((+AB94-AB91)/AB91)</f>
        <v>0.78584673220046253</v>
      </c>
    </row>
    <row r="97" spans="1:34" x14ac:dyDescent="0.25">
      <c r="A97" s="11" t="s">
        <v>22</v>
      </c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</row>
    <row r="98" spans="1:34" x14ac:dyDescent="0.25">
      <c r="B98" cm="1">
        <f t="array" ref="B98:AC102">_xlfn._xlws.FILTER('Dado Bruto'!A:AB, ('Dado Bruto'!A:A=17) + ('Dado Bruto'!A:A=37) + ('Dado Bruto'!A:A=57)+ ('Dado Bruto'!A:A=77)+ ('Dado Bruto'!A:A=97), "Não encontrado")</f>
        <v>17</v>
      </c>
      <c r="C98" t="str">
        <v>-&gt;</v>
      </c>
      <c r="D98">
        <v>0</v>
      </c>
      <c r="E98" t="str">
        <v>E0</v>
      </c>
      <c r="F98">
        <v>1.0813999999999999</v>
      </c>
      <c r="G98">
        <v>0.79559999999999997</v>
      </c>
      <c r="H98" t="str">
        <v>E1</v>
      </c>
      <c r="I98">
        <v>0.45040000000000002</v>
      </c>
      <c r="J98">
        <v>0.37459999999999999</v>
      </c>
      <c r="K98" t="str">
        <v>E2</v>
      </c>
      <c r="L98">
        <v>0.94189999999999996</v>
      </c>
      <c r="M98">
        <v>0.69820000000000004</v>
      </c>
      <c r="N98" t="str">
        <v>E3</v>
      </c>
      <c r="O98">
        <v>0.45179999999999998</v>
      </c>
      <c r="P98">
        <v>0.39300000000000002</v>
      </c>
      <c r="Q98" t="str">
        <v>E4</v>
      </c>
      <c r="R98">
        <v>0.9466</v>
      </c>
      <c r="S98">
        <v>0.71779999999999999</v>
      </c>
      <c r="T98" t="str">
        <v>E5</v>
      </c>
      <c r="U98">
        <v>0.44869999999999999</v>
      </c>
      <c r="V98">
        <v>0.38740000000000002</v>
      </c>
      <c r="W98" t="str">
        <v>E6</v>
      </c>
      <c r="X98">
        <v>0.95109999999999995</v>
      </c>
      <c r="Y98">
        <v>0.7056</v>
      </c>
      <c r="Z98" t="str">
        <v>E7</v>
      </c>
      <c r="AA98">
        <v>0.105</v>
      </c>
      <c r="AB98">
        <v>9.1999999999999998E-2</v>
      </c>
      <c r="AC98">
        <v>9.5299999999999996E-2</v>
      </c>
    </row>
    <row r="99" spans="1:34" x14ac:dyDescent="0.25">
      <c r="B99">
        <v>37</v>
      </c>
      <c r="C99" t="str">
        <v>-&gt;</v>
      </c>
      <c r="D99">
        <v>0</v>
      </c>
      <c r="E99" t="str">
        <v>E0</v>
      </c>
      <c r="F99">
        <v>1.1012999999999999</v>
      </c>
      <c r="G99">
        <v>0.79830000000000001</v>
      </c>
      <c r="H99" t="str">
        <v>E1</v>
      </c>
      <c r="I99">
        <v>0.45610000000000001</v>
      </c>
      <c r="J99">
        <v>0.36969999999999997</v>
      </c>
      <c r="K99" t="str">
        <v>E2</v>
      </c>
      <c r="L99">
        <v>0.95650000000000002</v>
      </c>
      <c r="M99">
        <v>0.69059999999999999</v>
      </c>
      <c r="N99" t="str">
        <v>E3</v>
      </c>
      <c r="O99">
        <v>0.45400000000000001</v>
      </c>
      <c r="P99">
        <v>0.37469999999999998</v>
      </c>
      <c r="Q99" t="str">
        <v>E4</v>
      </c>
      <c r="R99">
        <v>0.96540000000000004</v>
      </c>
      <c r="S99">
        <v>0.6905</v>
      </c>
      <c r="T99" t="str">
        <v>E5</v>
      </c>
      <c r="U99">
        <v>0.45229999999999998</v>
      </c>
      <c r="V99">
        <v>0.36820000000000003</v>
      </c>
      <c r="W99" t="str">
        <v>E6</v>
      </c>
      <c r="X99">
        <v>0.95789999999999997</v>
      </c>
      <c r="Y99">
        <v>0.6845</v>
      </c>
      <c r="Z99" t="str">
        <v>E7</v>
      </c>
      <c r="AA99">
        <v>0.1048</v>
      </c>
      <c r="AB99">
        <v>8.4000000000000005E-2</v>
      </c>
      <c r="AC99">
        <v>0</v>
      </c>
    </row>
    <row r="100" spans="1:34" x14ac:dyDescent="0.25">
      <c r="B100">
        <v>57</v>
      </c>
      <c r="C100" t="str">
        <v>-&gt;</v>
      </c>
      <c r="D100">
        <v>0</v>
      </c>
      <c r="E100" t="str">
        <v>E0</v>
      </c>
      <c r="F100">
        <v>1.1032</v>
      </c>
      <c r="G100">
        <v>0.79459999999999997</v>
      </c>
      <c r="H100" t="str">
        <v>E1</v>
      </c>
      <c r="I100">
        <v>0.45300000000000001</v>
      </c>
      <c r="J100">
        <v>0.37</v>
      </c>
      <c r="K100" t="str">
        <v>E2</v>
      </c>
      <c r="L100">
        <v>0.95950000000000002</v>
      </c>
      <c r="M100">
        <v>0.68989999999999996</v>
      </c>
      <c r="N100" t="str">
        <v>E3</v>
      </c>
      <c r="O100">
        <v>0.45129999999999998</v>
      </c>
      <c r="P100">
        <v>0.36620000000000003</v>
      </c>
      <c r="Q100" t="str">
        <v>E4</v>
      </c>
      <c r="R100">
        <v>0.96079999999999999</v>
      </c>
      <c r="S100">
        <v>0.68089999999999995</v>
      </c>
      <c r="T100" t="str">
        <v>E5</v>
      </c>
      <c r="U100">
        <v>0.45469999999999999</v>
      </c>
      <c r="V100">
        <v>0.37409999999999999</v>
      </c>
      <c r="W100" t="str">
        <v>E6</v>
      </c>
      <c r="X100">
        <v>0.95509999999999995</v>
      </c>
      <c r="Y100">
        <v>0.67220000000000002</v>
      </c>
      <c r="Z100" t="str">
        <v>E7</v>
      </c>
      <c r="AA100">
        <v>0.1032</v>
      </c>
      <c r="AB100">
        <v>8.6099999999999996E-2</v>
      </c>
      <c r="AC100">
        <v>0.67949999999999999</v>
      </c>
    </row>
    <row r="101" spans="1:34" x14ac:dyDescent="0.25">
      <c r="B101">
        <v>77</v>
      </c>
      <c r="C101" t="str">
        <v>-&gt;</v>
      </c>
      <c r="D101">
        <v>0</v>
      </c>
      <c r="E101" t="str">
        <v>E0</v>
      </c>
      <c r="F101">
        <v>1.1034999999999999</v>
      </c>
      <c r="G101">
        <v>0.79959999999999998</v>
      </c>
      <c r="H101" t="str">
        <v>E1</v>
      </c>
      <c r="I101">
        <v>0.45100000000000001</v>
      </c>
      <c r="J101">
        <v>0.37409999999999999</v>
      </c>
      <c r="K101" t="str">
        <v>E2</v>
      </c>
      <c r="L101">
        <v>0.96250000000000002</v>
      </c>
      <c r="M101">
        <v>0.69779999999999998</v>
      </c>
      <c r="N101" t="str">
        <v>E3</v>
      </c>
      <c r="O101">
        <v>0.45529999999999998</v>
      </c>
      <c r="P101">
        <v>0.37190000000000001</v>
      </c>
      <c r="Q101" t="str">
        <v>E4</v>
      </c>
      <c r="R101">
        <v>0.95930000000000004</v>
      </c>
      <c r="S101">
        <v>0.68989999999999996</v>
      </c>
      <c r="T101" t="str">
        <v>E5</v>
      </c>
      <c r="U101">
        <v>0.4572</v>
      </c>
      <c r="V101">
        <v>0.37369999999999998</v>
      </c>
      <c r="W101" t="str">
        <v>E6</v>
      </c>
      <c r="X101">
        <v>0.96050000000000002</v>
      </c>
      <c r="Y101">
        <v>0.70379999999999998</v>
      </c>
      <c r="Z101" t="str">
        <v>E7</v>
      </c>
      <c r="AA101">
        <v>0.10539999999999999</v>
      </c>
      <c r="AB101">
        <v>8.9399999999999993E-2</v>
      </c>
      <c r="AC101">
        <v>0</v>
      </c>
    </row>
    <row r="102" spans="1:34" x14ac:dyDescent="0.25">
      <c r="B102">
        <v>97</v>
      </c>
      <c r="C102" t="str">
        <v>-&gt;</v>
      </c>
      <c r="D102">
        <v>0</v>
      </c>
      <c r="E102" t="str">
        <v>E0</v>
      </c>
      <c r="F102">
        <v>1.1071</v>
      </c>
      <c r="G102">
        <v>0.79749999999999999</v>
      </c>
      <c r="H102" t="str">
        <v>E1</v>
      </c>
      <c r="I102">
        <v>0.45669999999999999</v>
      </c>
      <c r="J102">
        <v>0.3775</v>
      </c>
      <c r="K102" t="str">
        <v>E2</v>
      </c>
      <c r="L102">
        <v>0.96189999999999998</v>
      </c>
      <c r="M102">
        <v>0.69940000000000002</v>
      </c>
      <c r="N102" t="str">
        <v>E3</v>
      </c>
      <c r="O102">
        <v>0.45429999999999998</v>
      </c>
      <c r="P102">
        <v>0.37380000000000002</v>
      </c>
      <c r="Q102" t="str">
        <v>E4</v>
      </c>
      <c r="R102">
        <v>0.96530000000000005</v>
      </c>
      <c r="S102">
        <v>0.7006</v>
      </c>
      <c r="T102" t="str">
        <v>E5</v>
      </c>
      <c r="U102">
        <v>0.4546</v>
      </c>
      <c r="V102">
        <v>0.3735</v>
      </c>
      <c r="W102" t="str">
        <v>E6</v>
      </c>
      <c r="X102">
        <v>0.95950000000000002</v>
      </c>
      <c r="Y102">
        <v>0.69820000000000004</v>
      </c>
      <c r="Z102" t="str">
        <v>E7</v>
      </c>
      <c r="AA102">
        <v>0.1052</v>
      </c>
      <c r="AB102">
        <v>9.0700000000000003E-2</v>
      </c>
      <c r="AC102">
        <v>0.34510000000000002</v>
      </c>
    </row>
    <row r="103" spans="1:34" s="4" customFormat="1" x14ac:dyDescent="0.25">
      <c r="A103" t="s">
        <v>23</v>
      </c>
      <c r="B103"/>
      <c r="C103"/>
      <c r="D103"/>
      <c r="E103"/>
      <c r="F103">
        <f>AVERAGE(F98:F102)</f>
        <v>1.0992999999999999</v>
      </c>
      <c r="G103">
        <f t="shared" ref="G103" si="314">AVERAGE(G98:G102)</f>
        <v>0.79711999999999994</v>
      </c>
      <c r="H103"/>
      <c r="I103">
        <f t="shared" ref="I103" si="315">AVERAGE(I98:I102)</f>
        <v>0.45344000000000007</v>
      </c>
      <c r="J103">
        <f t="shared" ref="J103" si="316">AVERAGE(J98:J102)</f>
        <v>0.37317999999999996</v>
      </c>
      <c r="K103"/>
      <c r="L103">
        <f t="shared" ref="L103" si="317">AVERAGE(L98:L102)</f>
        <v>0.95645999999999987</v>
      </c>
      <c r="M103">
        <f t="shared" ref="M103" si="318">AVERAGE(M98:M102)</f>
        <v>0.69518000000000002</v>
      </c>
      <c r="N103"/>
      <c r="O103">
        <f t="shared" ref="O103" si="319">AVERAGE(O98:O102)</f>
        <v>0.45334000000000002</v>
      </c>
      <c r="P103">
        <f t="shared" ref="P103" si="320">AVERAGE(P98:P102)</f>
        <v>0.37592000000000009</v>
      </c>
      <c r="Q103"/>
      <c r="R103">
        <f t="shared" ref="R103" si="321">AVERAGE(R98:R102)</f>
        <v>0.95947999999999989</v>
      </c>
      <c r="S103">
        <f t="shared" ref="S103" si="322">AVERAGE(S98:S102)</f>
        <v>0.69594</v>
      </c>
      <c r="T103"/>
      <c r="U103">
        <f t="shared" ref="U103" si="323">AVERAGE(U98:U102)</f>
        <v>0.45350000000000001</v>
      </c>
      <c r="V103">
        <f t="shared" ref="V103" si="324">AVERAGE(V98:V102)</f>
        <v>0.37537999999999999</v>
      </c>
      <c r="W103"/>
      <c r="X103">
        <f t="shared" ref="X103" si="325">AVERAGE(X98:X102)</f>
        <v>0.95681999999999989</v>
      </c>
      <c r="Y103">
        <f t="shared" ref="Y103" si="326">AVERAGE(Y98:Y102)</f>
        <v>0.69285999999999992</v>
      </c>
      <c r="Z103"/>
      <c r="AA103">
        <f t="shared" ref="AA103" si="327">AVERAGE(AA98:AA102)</f>
        <v>0.10471999999999999</v>
      </c>
      <c r="AB103">
        <f t="shared" ref="AB103" si="328">AVERAGE(AB98:AB102)</f>
        <v>8.8439999999999991E-2</v>
      </c>
    </row>
    <row r="104" spans="1:34" s="4" customFormat="1" x14ac:dyDescent="0.25">
      <c r="A104" s="4" t="s">
        <v>25</v>
      </c>
      <c r="F104" s="4">
        <f>_xlfn.STDEV.P(F98:F102)</f>
        <v>9.1443971917234794E-3</v>
      </c>
      <c r="G104" s="4">
        <f t="shared" ref="G104" si="329">_xlfn.STDEV.P(G98:G102)</f>
        <v>1.8082035283673193E-3</v>
      </c>
      <c r="I104" s="4">
        <f t="shared" ref="I104:J104" si="330">_xlfn.STDEV.P(I98:I102)</f>
        <v>2.5726251184344674E-3</v>
      </c>
      <c r="J104" s="4">
        <f t="shared" si="330"/>
        <v>2.9579722784367061E-3</v>
      </c>
      <c r="L104" s="4">
        <f t="shared" ref="L104:M104" si="331">_xlfn.STDEV.P(L98:L102)</f>
        <v>7.5803957680321849E-3</v>
      </c>
      <c r="M104" s="4">
        <f t="shared" si="331"/>
        <v>4.0656610778568554E-3</v>
      </c>
      <c r="O104" s="4">
        <f t="shared" ref="O104:P104" si="332">_xlfn.STDEV.P(O98:O102)</f>
        <v>1.5317963311093329E-3</v>
      </c>
      <c r="P104" s="4">
        <f t="shared" si="332"/>
        <v>9.0371234361382932E-3</v>
      </c>
      <c r="R104" s="4">
        <f t="shared" ref="R104:S104" si="333">_xlfn.STDEV.P(R98:R102)</f>
        <v>6.8787789614146054E-3</v>
      </c>
      <c r="S104" s="4">
        <f t="shared" si="333"/>
        <v>1.2584530185906835E-2</v>
      </c>
      <c r="U104" s="4">
        <f t="shared" ref="U104:V104" si="334">_xlfn.STDEV.P(U98:U102)</f>
        <v>2.8572714256787056E-3</v>
      </c>
      <c r="V104" s="4">
        <f t="shared" si="334"/>
        <v>6.3879261110316591E-3</v>
      </c>
      <c r="X104" s="4">
        <f t="shared" ref="X104:Y104" si="335">_xlfn.STDEV.P(X98:X102)</f>
        <v>3.3931696096717884E-3</v>
      </c>
      <c r="Y104" s="4">
        <f t="shared" si="335"/>
        <v>1.2706155988338875E-2</v>
      </c>
      <c r="AA104" s="4">
        <f t="shared" ref="AA104:AB104" si="336">_xlfn.STDEV.P(AA98:AA102)</f>
        <v>7.8587530817553891E-4</v>
      </c>
      <c r="AB104" s="4">
        <f t="shared" si="336"/>
        <v>2.9628364787817759E-3</v>
      </c>
      <c r="AG104" s="5"/>
    </row>
    <row r="105" spans="1:34" x14ac:dyDescent="0.25">
      <c r="A105" s="4" t="s">
        <v>26</v>
      </c>
      <c r="B105" s="4"/>
      <c r="C105" s="4"/>
      <c r="D105" s="4"/>
      <c r="E105" s="4"/>
      <c r="F105" s="1">
        <f>20*LOG10(F103/F104)</f>
        <v>41.599222927245727</v>
      </c>
      <c r="G105" s="1">
        <f>20*LOG10(G103/G104)</f>
        <v>52.885527870092844</v>
      </c>
      <c r="H105" s="1"/>
      <c r="I105" s="1">
        <f t="shared" ref="I105" si="337">20*LOG10(I103/I104)</f>
        <v>44.922866458154175</v>
      </c>
      <c r="J105" s="1">
        <f t="shared" ref="J105" si="338">20*LOG10(J103/J104)</f>
        <v>42.018485216191493</v>
      </c>
      <c r="K105" s="1"/>
      <c r="L105" s="1">
        <f t="shared" ref="L105" si="339">20*LOG10(L103/L104)</f>
        <v>42.019498633602915</v>
      </c>
      <c r="M105" s="1">
        <f t="shared" ref="M105" si="340">20*LOG10(M103/M104)</f>
        <v>44.65932194145816</v>
      </c>
      <c r="N105" s="1"/>
      <c r="O105" s="1">
        <f t="shared" ref="O105" si="341">20*LOG10(O103/O104)</f>
        <v>49.424460306018062</v>
      </c>
      <c r="P105" s="1">
        <f t="shared" ref="P105" si="342">20*LOG10(P103/P104)</f>
        <v>32.381304355163245</v>
      </c>
      <c r="Q105" s="1"/>
      <c r="R105" s="1">
        <f t="shared" ref="R105" si="343">20*LOG10(R103/R104)</f>
        <v>42.890491442938782</v>
      </c>
      <c r="S105" s="1">
        <f t="shared" ref="S105" si="344">20*LOG10(S103/S104)</f>
        <v>34.854695840042524</v>
      </c>
      <c r="T105" s="1"/>
      <c r="U105" s="1">
        <f t="shared" ref="U105" si="345">20*LOG10(U103/U104)</f>
        <v>44.012515867481945</v>
      </c>
      <c r="V105" s="1">
        <f t="shared" ref="V105" si="346">20*LOG10(V103/V104)</f>
        <v>35.382224919076158</v>
      </c>
      <c r="W105" s="1"/>
      <c r="X105" s="1">
        <f t="shared" ref="X105" si="347">20*LOG10(X103/X104)</f>
        <v>49.004493518932939</v>
      </c>
      <c r="Y105" s="1">
        <f t="shared" ref="Y105" si="348">20*LOG10(Y103/Y104)</f>
        <v>34.73262613599384</v>
      </c>
      <c r="Z105" s="1"/>
      <c r="AA105" s="1">
        <f t="shared" ref="AA105" si="349">20*LOG10(AA103/AA104)</f>
        <v>42.4935197975772</v>
      </c>
      <c r="AB105" s="19">
        <f t="shared" ref="AB105" si="350">20*LOG10(AB103/AB104)</f>
        <v>29.498821016216855</v>
      </c>
      <c r="AC105" s="1">
        <f>AVERAGE(F105:AB105)</f>
        <v>41.423754765386683</v>
      </c>
    </row>
    <row r="106" spans="1:34" s="3" customFormat="1" x14ac:dyDescent="0.25">
      <c r="A106" s="3" t="s">
        <v>24</v>
      </c>
      <c r="F106" s="7">
        <v>1.1880999999999999</v>
      </c>
      <c r="G106" s="7">
        <v>1.0748</v>
      </c>
      <c r="H106" s="7"/>
      <c r="I106" s="7">
        <v>0.49099999999999999</v>
      </c>
      <c r="J106" s="7">
        <v>0.48909999999999998</v>
      </c>
      <c r="K106" s="7"/>
      <c r="L106" s="7">
        <v>1.0144</v>
      </c>
      <c r="M106" s="7">
        <v>0.90639999999999998</v>
      </c>
      <c r="N106" s="7"/>
      <c r="O106" s="7">
        <v>0.49099999999999999</v>
      </c>
      <c r="P106" s="7">
        <v>0.48909999999999998</v>
      </c>
      <c r="Q106" s="7"/>
      <c r="R106" s="7">
        <v>1.0144</v>
      </c>
      <c r="S106" s="7">
        <v>0.90639999999999998</v>
      </c>
      <c r="T106" s="7"/>
      <c r="U106" s="7">
        <v>0.49099999999999999</v>
      </c>
      <c r="V106" s="7">
        <v>0.48909999999999998</v>
      </c>
      <c r="W106" s="7"/>
      <c r="X106" s="7">
        <v>1.0144</v>
      </c>
      <c r="Y106" s="7">
        <v>0.90639999999999998</v>
      </c>
      <c r="Z106" s="7"/>
      <c r="AA106" s="6">
        <v>0.13200000000000001</v>
      </c>
      <c r="AB106" s="7">
        <v>0.13150000000000001</v>
      </c>
      <c r="AH106" s="3" t="s">
        <v>54</v>
      </c>
    </row>
    <row r="107" spans="1:34" s="5" customFormat="1" x14ac:dyDescent="0.25">
      <c r="A107" s="5" t="s">
        <v>30</v>
      </c>
      <c r="F107" s="5">
        <f>1-((F106-F103)/F103)</f>
        <v>0.91922132265987444</v>
      </c>
      <c r="G107" s="5">
        <f t="shared" ref="G107" si="351">1-((G106-G103)/G103)</f>
        <v>0.65164592533119214</v>
      </c>
      <c r="I107" s="5">
        <f t="shared" ref="I107" si="352">1-((I106-I103)/I103)</f>
        <v>0.91716654904728312</v>
      </c>
      <c r="J107" s="5">
        <f t="shared" ref="J107" si="353">1-((J106-J103)/J103)</f>
        <v>0.68937242081569206</v>
      </c>
      <c r="L107" s="5">
        <f t="shared" ref="L107" si="354">1-((L106-L103)/L103)</f>
        <v>0.93942245363109789</v>
      </c>
      <c r="M107" s="5">
        <f t="shared" ref="M107" si="355">1-((M106-M103)/M103)</f>
        <v>0.69616502200868846</v>
      </c>
      <c r="O107" s="5">
        <f t="shared" ref="O107" si="356">1-((O106-O103)/O103)</f>
        <v>0.91692769223982007</v>
      </c>
      <c r="P107" s="5">
        <f t="shared" ref="P107" si="357">1-((P106-P103)/P103)</f>
        <v>0.69892530325601232</v>
      </c>
      <c r="R107" s="5">
        <f t="shared" ref="R107" si="358">1-((R106-R103)/R103)</f>
        <v>0.94276066202526354</v>
      </c>
      <c r="S107" s="5">
        <f t="shared" ref="S107" si="359">1-((S106-S103)/S103)</f>
        <v>0.69758887260396008</v>
      </c>
      <c r="U107" s="5">
        <f t="shared" ref="U107" si="360">1-((U106-U103)/U103)</f>
        <v>0.91730981256890853</v>
      </c>
      <c r="V107" s="5">
        <f t="shared" ref="V107" si="361">1-((V106-V103)/V103)</f>
        <v>0.69705365229900362</v>
      </c>
      <c r="X107" s="5">
        <f t="shared" ref="X107" si="362">1-((X106-X103)/X103)</f>
        <v>0.93982149202566823</v>
      </c>
      <c r="Y107" s="5">
        <f t="shared" ref="Y107" si="363">1-((Y106-Y103)/Y103)</f>
        <v>0.69179920907542636</v>
      </c>
      <c r="AA107" s="5">
        <f>1-((+AA106-AA103)/AA103)</f>
        <v>0.73949579831932755</v>
      </c>
      <c r="AB107" s="5">
        <f>1-((+AB106-AB103)/AB103)</f>
        <v>0.51311623699683384</v>
      </c>
    </row>
  </sheetData>
  <mergeCells count="9">
    <mergeCell ref="A73:AB73"/>
    <mergeCell ref="A85:AB85"/>
    <mergeCell ref="A97:AB97"/>
    <mergeCell ref="A1:AB1"/>
    <mergeCell ref="A13:AB13"/>
    <mergeCell ref="A25:AB25"/>
    <mergeCell ref="A37:AB37"/>
    <mergeCell ref="A49:AB49"/>
    <mergeCell ref="A61:AB61"/>
  </mergeCells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A45D3-D8FF-4E5F-A511-44AD7CCAC428}">
  <dimension ref="A1"/>
  <sheetViews>
    <sheetView workbookViewId="0">
      <selection activeCell="T18" sqref="T1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E86B7-B413-4319-BB17-58405298855E}">
  <dimension ref="A1:AL107"/>
  <sheetViews>
    <sheetView workbookViewId="0">
      <selection activeCell="E21" sqref="E21"/>
    </sheetView>
  </sheetViews>
  <sheetFormatPr defaultRowHeight="15" x14ac:dyDescent="0.25"/>
  <cols>
    <col min="1" max="1" width="14.42578125" bestFit="1" customWidth="1"/>
    <col min="6" max="6" width="9.5703125" bestFit="1" customWidth="1"/>
  </cols>
  <sheetData>
    <row r="1" spans="1:38" x14ac:dyDescent="0.2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8" spans="1:38" s="4" customFormat="1" x14ac:dyDescent="0.25"/>
    <row r="9" spans="1:38" s="4" customFormat="1" x14ac:dyDescent="0.25">
      <c r="F9" s="1"/>
      <c r="G9" s="1"/>
    </row>
    <row r="10" spans="1:38" s="4" customFormat="1" x14ac:dyDescent="0.25">
      <c r="F10" s="6"/>
      <c r="G10" s="6"/>
    </row>
    <row r="11" spans="1:38" s="4" customFormat="1" x14ac:dyDescent="0.25">
      <c r="F11" s="2"/>
      <c r="G11" s="2"/>
    </row>
    <row r="12" spans="1:38" s="4" customFormat="1" x14ac:dyDescent="0.25">
      <c r="F12" s="1"/>
      <c r="G12" s="1"/>
    </row>
    <row r="13" spans="1:38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</row>
    <row r="14" spans="1:38" x14ac:dyDescent="0.25">
      <c r="AK14" t="s">
        <v>28</v>
      </c>
      <c r="AL14" t="s">
        <v>29</v>
      </c>
    </row>
    <row r="20" spans="1:28" s="4" customFormat="1" x14ac:dyDescent="0.25"/>
    <row r="21" spans="1:28" s="4" customFormat="1" x14ac:dyDescent="0.25"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s="4" customFormat="1" x14ac:dyDescent="0.25">
      <c r="B22" s="2"/>
      <c r="C22" s="2"/>
      <c r="D22" s="2"/>
      <c r="E22" s="2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spans="1:28" s="5" customFormat="1" x14ac:dyDescent="0.25"/>
    <row r="25" spans="1:28" x14ac:dyDescent="0.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</row>
    <row r="31" spans="1:28" s="4" customFormat="1" x14ac:dyDescent="0.2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</row>
    <row r="32" spans="1:28" s="4" customFormat="1" x14ac:dyDescent="0.25"/>
    <row r="33" spans="1:28" s="4" customFormat="1" x14ac:dyDescent="0.25"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s="3" customFormat="1" x14ac:dyDescent="0.25">
      <c r="F34" s="7"/>
      <c r="G34" s="7"/>
      <c r="H34" s="7"/>
      <c r="I34" s="6"/>
      <c r="J34" s="7"/>
      <c r="K34" s="7"/>
      <c r="L34" s="7"/>
      <c r="M34" s="7"/>
      <c r="N34" s="7"/>
      <c r="O34" s="7"/>
      <c r="P34" s="6"/>
      <c r="Q34" s="7"/>
      <c r="R34" s="7"/>
      <c r="S34" s="7"/>
      <c r="T34" s="7"/>
      <c r="U34" s="7"/>
      <c r="V34" s="6"/>
      <c r="W34" s="7"/>
      <c r="X34" s="7"/>
      <c r="Y34" s="7"/>
      <c r="Z34" s="7"/>
      <c r="AA34" s="7"/>
      <c r="AB34" s="6"/>
    </row>
    <row r="35" spans="1:28" s="5" customFormat="1" x14ac:dyDescent="0.25"/>
    <row r="37" spans="1:28" x14ac:dyDescent="0.2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</row>
    <row r="43" spans="1:28" s="4" customFormat="1" x14ac:dyDescent="0.2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</row>
    <row r="44" spans="1:28" s="4" customFormat="1" x14ac:dyDescent="0.25"/>
    <row r="45" spans="1:28" s="4" customFormat="1" x14ac:dyDescent="0.25"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s="3" customFormat="1" x14ac:dyDescent="0.25"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spans="1:28" s="5" customFormat="1" x14ac:dyDescent="0.25"/>
    <row r="49" spans="1:28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</row>
    <row r="55" spans="1:28" s="4" customFormat="1" x14ac:dyDescent="0.2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</row>
    <row r="56" spans="1:28" s="4" customFormat="1" x14ac:dyDescent="0.25"/>
    <row r="57" spans="1:28" s="4" customFormat="1" x14ac:dyDescent="0.25"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s="3" customFormat="1" x14ac:dyDescent="0.25">
      <c r="F58" s="7"/>
      <c r="G58" s="7"/>
      <c r="H58" s="7"/>
      <c r="I58" s="7"/>
      <c r="J58" s="7"/>
      <c r="K58" s="7"/>
      <c r="L58" s="7"/>
      <c r="M58" s="7"/>
      <c r="N58" s="7"/>
      <c r="O58" s="6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spans="1:28" s="5" customFormat="1" x14ac:dyDescent="0.25"/>
    <row r="61" spans="1:28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</row>
    <row r="67" spans="1:28" s="4" customFormat="1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</row>
    <row r="68" spans="1:28" s="4" customFormat="1" x14ac:dyDescent="0.25"/>
    <row r="69" spans="1:28" s="4" customFormat="1" x14ac:dyDescent="0.25"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s="3" customFormat="1" x14ac:dyDescent="0.25">
      <c r="F70" s="7"/>
      <c r="G70" s="6"/>
      <c r="H70" s="7"/>
      <c r="I70" s="7"/>
      <c r="J70" s="7"/>
      <c r="K70" s="7"/>
      <c r="L70" s="7"/>
      <c r="M70" s="6"/>
      <c r="N70" s="7"/>
      <c r="O70" s="7"/>
      <c r="P70" s="7"/>
      <c r="Q70" s="7"/>
      <c r="R70" s="6"/>
      <c r="S70" s="7"/>
      <c r="T70" s="7"/>
      <c r="U70" s="7"/>
      <c r="V70" s="7"/>
      <c r="W70" s="7"/>
      <c r="X70" s="7"/>
      <c r="Y70" s="6"/>
      <c r="Z70" s="7"/>
      <c r="AA70" s="7"/>
      <c r="AB70" s="7"/>
    </row>
    <row r="71" spans="1:28" s="5" customFormat="1" x14ac:dyDescent="0.25"/>
    <row r="73" spans="1:28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</row>
    <row r="79" spans="1:28" s="4" customFormat="1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</row>
    <row r="80" spans="1:28" s="4" customFormat="1" x14ac:dyDescent="0.25"/>
    <row r="81" spans="1:28" s="4" customFormat="1" x14ac:dyDescent="0.25"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s="3" customFormat="1" x14ac:dyDescent="0.25">
      <c r="F82" s="7"/>
      <c r="G82" s="7"/>
      <c r="H82" s="7"/>
      <c r="I82" s="7"/>
      <c r="J82" s="6"/>
      <c r="K82" s="7"/>
      <c r="L82" s="7"/>
      <c r="M82" s="7"/>
      <c r="N82" s="7"/>
      <c r="O82" s="7"/>
      <c r="P82" s="6"/>
      <c r="Q82" s="7"/>
      <c r="R82" s="7"/>
      <c r="S82" s="7"/>
      <c r="T82" s="7"/>
      <c r="U82" s="6"/>
      <c r="V82" s="7"/>
      <c r="W82" s="7"/>
      <c r="X82" s="7"/>
      <c r="Y82" s="7"/>
      <c r="Z82" s="7"/>
      <c r="AA82" s="7"/>
      <c r="AB82" s="6"/>
    </row>
    <row r="83" spans="1:28" s="5" customFormat="1" x14ac:dyDescent="0.25"/>
    <row r="85" spans="1:28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</row>
    <row r="91" spans="1:28" s="4" customFormat="1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</row>
    <row r="92" spans="1:28" s="4" customFormat="1" x14ac:dyDescent="0.25"/>
    <row r="93" spans="1:28" s="4" customFormat="1" x14ac:dyDescent="0.25"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s="3" customFormat="1" x14ac:dyDescent="0.25"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6"/>
      <c r="Y94" s="7"/>
      <c r="Z94" s="7"/>
      <c r="AA94" s="7"/>
      <c r="AB94" s="7"/>
    </row>
    <row r="95" spans="1:28" s="5" customFormat="1" x14ac:dyDescent="0.25"/>
    <row r="97" spans="1:28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</row>
    <row r="103" spans="1:28" s="4" customFormat="1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</row>
    <row r="104" spans="1:28" s="4" customFormat="1" x14ac:dyDescent="0.25"/>
    <row r="105" spans="1:28" x14ac:dyDescent="0.25">
      <c r="A105" s="4"/>
      <c r="B105" s="4"/>
      <c r="C105" s="4"/>
      <c r="D105" s="4"/>
      <c r="E105" s="4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s="3" customFormat="1" x14ac:dyDescent="0.25"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6"/>
      <c r="AB106" s="7"/>
    </row>
    <row r="107" spans="1:28" s="5" customFormat="1" x14ac:dyDescent="0.25"/>
  </sheetData>
  <mergeCells count="9">
    <mergeCell ref="A73:AB73"/>
    <mergeCell ref="A85:AB85"/>
    <mergeCell ref="A97:AB97"/>
    <mergeCell ref="A1:AB1"/>
    <mergeCell ref="A13:AB13"/>
    <mergeCell ref="A25:AB25"/>
    <mergeCell ref="A37:AB37"/>
    <mergeCell ref="A49:AB49"/>
    <mergeCell ref="A61:AB61"/>
  </mergeCells>
  <pageMargins left="0.7" right="0.7" top="0.75" bottom="0.75" header="0.3" footer="0.3"/>
  <pageSetup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8148C-F214-4059-9B82-BDAB5572916B}">
  <dimension ref="A1:AB147"/>
  <sheetViews>
    <sheetView topLeftCell="A121" workbookViewId="0">
      <selection activeCell="S151" sqref="S151"/>
    </sheetView>
  </sheetViews>
  <sheetFormatPr defaultRowHeight="15" x14ac:dyDescent="0.25"/>
  <cols>
    <col min="3" max="3" width="19.7109375" bestFit="1" customWidth="1"/>
  </cols>
  <sheetData>
    <row r="1" spans="1:28" x14ac:dyDescent="0.25">
      <c r="A1" t="s">
        <v>14</v>
      </c>
    </row>
    <row r="2" spans="1:28" x14ac:dyDescent="0.25">
      <c r="B2">
        <v>1</v>
      </c>
      <c r="C2" t="s">
        <v>0</v>
      </c>
      <c r="D2">
        <v>0</v>
      </c>
      <c r="E2" t="s">
        <v>1</v>
      </c>
      <c r="F2">
        <v>1.5264</v>
      </c>
      <c r="G2">
        <v>1.0866</v>
      </c>
      <c r="H2" t="s">
        <v>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25">
      <c r="B3">
        <v>21</v>
      </c>
      <c r="C3" t="s">
        <v>0</v>
      </c>
      <c r="D3">
        <v>0</v>
      </c>
      <c r="E3" t="s">
        <v>1</v>
      </c>
      <c r="F3">
        <v>1.5277000000000001</v>
      </c>
      <c r="G3">
        <v>1.0573999999999999</v>
      </c>
      <c r="H3" t="s">
        <v>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5">
      <c r="B4">
        <v>41</v>
      </c>
      <c r="C4" t="s">
        <v>0</v>
      </c>
      <c r="D4">
        <v>0</v>
      </c>
      <c r="E4" t="s">
        <v>1</v>
      </c>
      <c r="F4">
        <v>1.5607</v>
      </c>
      <c r="G4">
        <v>1.0448999999999999</v>
      </c>
      <c r="H4" t="s">
        <v>2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5">
      <c r="B5">
        <v>61</v>
      </c>
      <c r="C5" t="s">
        <v>0</v>
      </c>
      <c r="D5">
        <v>0</v>
      </c>
      <c r="E5" t="s">
        <v>1</v>
      </c>
      <c r="F5">
        <v>1.5638000000000001</v>
      </c>
      <c r="G5">
        <v>1.038</v>
      </c>
      <c r="H5" t="s">
        <v>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5">
      <c r="B6">
        <v>81</v>
      </c>
      <c r="C6" t="s">
        <v>0</v>
      </c>
      <c r="D6">
        <v>0</v>
      </c>
      <c r="E6" t="s">
        <v>1</v>
      </c>
      <c r="F6">
        <v>1.5324</v>
      </c>
      <c r="G6">
        <v>1.0790999999999999</v>
      </c>
      <c r="H6" t="s">
        <v>2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25">
      <c r="A7" t="s">
        <v>23</v>
      </c>
      <c r="F7">
        <v>1.5421999999999998</v>
      </c>
      <c r="G7">
        <v>1.0612000000000001</v>
      </c>
    </row>
    <row r="8" spans="1:28" x14ac:dyDescent="0.25">
      <c r="A8" t="s">
        <v>25</v>
      </c>
      <c r="F8">
        <v>1.6521137975333309E-2</v>
      </c>
      <c r="G8">
        <v>1.8888832679654927E-2</v>
      </c>
    </row>
    <row r="9" spans="1:28" x14ac:dyDescent="0.25">
      <c r="A9" t="s">
        <v>26</v>
      </c>
      <c r="F9">
        <v>39.402014811747897</v>
      </c>
      <c r="G9">
        <v>34.991842434787813</v>
      </c>
    </row>
    <row r="10" spans="1:28" x14ac:dyDescent="0.25">
      <c r="A10" t="s">
        <v>24</v>
      </c>
      <c r="F10">
        <v>1.056</v>
      </c>
      <c r="G10">
        <v>1.0518000000000001</v>
      </c>
    </row>
    <row r="11" spans="1:28" x14ac:dyDescent="0.25">
      <c r="A11" t="s">
        <v>30</v>
      </c>
      <c r="F11">
        <v>0.53958333333333353</v>
      </c>
      <c r="G11">
        <v>0.99106293972238058</v>
      </c>
    </row>
    <row r="13" spans="1:28" x14ac:dyDescent="0.25">
      <c r="A13" t="s">
        <v>15</v>
      </c>
      <c r="F13" s="15"/>
      <c r="G13" s="15"/>
      <c r="I13" s="15"/>
      <c r="J13" s="15"/>
      <c r="L13" s="15"/>
      <c r="M13" s="15"/>
      <c r="O13" s="15"/>
      <c r="P13" s="15"/>
      <c r="R13" s="15"/>
      <c r="S13" s="15"/>
      <c r="U13" s="15"/>
      <c r="V13" s="15"/>
      <c r="X13" s="15"/>
      <c r="Y13" s="15"/>
      <c r="AA13" s="15"/>
      <c r="AB13" s="15"/>
    </row>
    <row r="14" spans="1:28" x14ac:dyDescent="0.25">
      <c r="B14">
        <v>3</v>
      </c>
      <c r="C14" t="s">
        <v>0</v>
      </c>
      <c r="D14">
        <v>0</v>
      </c>
      <c r="E14" t="s">
        <v>6</v>
      </c>
      <c r="F14">
        <v>0.1079</v>
      </c>
      <c r="G14">
        <v>9.8400000000000001E-2</v>
      </c>
      <c r="H14" t="s">
        <v>3</v>
      </c>
      <c r="I14">
        <v>1.0379</v>
      </c>
      <c r="J14">
        <v>0.80640000000000001</v>
      </c>
      <c r="K14" t="s">
        <v>8</v>
      </c>
      <c r="L14">
        <v>0.28120000000000001</v>
      </c>
      <c r="M14">
        <v>0.247</v>
      </c>
      <c r="N14" t="s">
        <v>9</v>
      </c>
      <c r="O14">
        <v>0.79710000000000003</v>
      </c>
      <c r="P14">
        <v>0.5988</v>
      </c>
      <c r="Q14" t="s">
        <v>10</v>
      </c>
      <c r="R14">
        <v>0.28389999999999999</v>
      </c>
      <c r="S14">
        <v>0.2535</v>
      </c>
      <c r="T14" t="s">
        <v>11</v>
      </c>
      <c r="U14">
        <v>0.79330000000000001</v>
      </c>
      <c r="V14">
        <v>0.59589999999999999</v>
      </c>
      <c r="W14" t="s">
        <v>12</v>
      </c>
      <c r="X14">
        <v>0.28370000000000001</v>
      </c>
      <c r="Y14">
        <v>0.24379999999999999</v>
      </c>
      <c r="Z14" t="s">
        <v>13</v>
      </c>
      <c r="AA14">
        <v>0.79220000000000002</v>
      </c>
      <c r="AB14">
        <v>0.59540000000000004</v>
      </c>
    </row>
    <row r="15" spans="1:28" x14ac:dyDescent="0.25">
      <c r="B15">
        <v>23</v>
      </c>
      <c r="C15" t="s">
        <v>0</v>
      </c>
      <c r="D15">
        <v>0</v>
      </c>
      <c r="E15" t="s">
        <v>6</v>
      </c>
      <c r="F15">
        <v>0.1072</v>
      </c>
      <c r="G15">
        <v>9.3600000000000003E-2</v>
      </c>
      <c r="H15" t="s">
        <v>3</v>
      </c>
      <c r="I15">
        <v>1.0344</v>
      </c>
      <c r="J15">
        <v>0.7984</v>
      </c>
      <c r="K15" t="s">
        <v>8</v>
      </c>
      <c r="L15">
        <v>0.28050000000000003</v>
      </c>
      <c r="M15">
        <v>0.24660000000000001</v>
      </c>
      <c r="N15" t="s">
        <v>9</v>
      </c>
      <c r="O15">
        <v>0.79569999999999996</v>
      </c>
      <c r="P15">
        <v>0.59899999999999998</v>
      </c>
      <c r="Q15" t="s">
        <v>10</v>
      </c>
      <c r="R15">
        <v>0.28339999999999999</v>
      </c>
      <c r="S15">
        <v>0.24940000000000001</v>
      </c>
      <c r="T15" t="s">
        <v>11</v>
      </c>
      <c r="U15">
        <v>0.79259999999999997</v>
      </c>
      <c r="V15">
        <v>0.59709999999999996</v>
      </c>
      <c r="W15" t="s">
        <v>12</v>
      </c>
      <c r="X15">
        <v>0.2828</v>
      </c>
      <c r="Y15">
        <v>0.24970000000000001</v>
      </c>
      <c r="Z15" t="s">
        <v>13</v>
      </c>
      <c r="AA15">
        <v>0.79330000000000001</v>
      </c>
      <c r="AB15">
        <v>0.59499999999999997</v>
      </c>
    </row>
    <row r="16" spans="1:28" x14ac:dyDescent="0.25">
      <c r="B16">
        <v>43</v>
      </c>
      <c r="C16" t="s">
        <v>0</v>
      </c>
      <c r="D16">
        <v>0</v>
      </c>
      <c r="E16" t="s">
        <v>6</v>
      </c>
      <c r="F16">
        <v>0.108</v>
      </c>
      <c r="G16">
        <v>0.1032</v>
      </c>
      <c r="H16" t="s">
        <v>3</v>
      </c>
      <c r="I16">
        <v>1.0354000000000001</v>
      </c>
      <c r="J16">
        <v>0.79879999999999995</v>
      </c>
      <c r="K16" t="s">
        <v>8</v>
      </c>
      <c r="L16">
        <v>0.27839999999999998</v>
      </c>
      <c r="M16">
        <v>0.24879999999999999</v>
      </c>
      <c r="N16" t="s">
        <v>9</v>
      </c>
      <c r="O16">
        <v>0.79210000000000003</v>
      </c>
      <c r="P16">
        <v>0.59630000000000005</v>
      </c>
      <c r="Q16" t="s">
        <v>10</v>
      </c>
      <c r="R16">
        <v>0.28299999999999997</v>
      </c>
      <c r="S16">
        <v>0.252</v>
      </c>
      <c r="T16" t="s">
        <v>11</v>
      </c>
      <c r="U16">
        <v>0.79300000000000004</v>
      </c>
      <c r="V16">
        <v>0.60040000000000004</v>
      </c>
      <c r="W16" t="s">
        <v>12</v>
      </c>
      <c r="X16">
        <v>0.28320000000000001</v>
      </c>
      <c r="Y16">
        <v>0.2457</v>
      </c>
      <c r="Z16" t="s">
        <v>13</v>
      </c>
      <c r="AA16">
        <v>0.79279999999999995</v>
      </c>
      <c r="AB16">
        <v>0.5958</v>
      </c>
    </row>
    <row r="17" spans="1:28" x14ac:dyDescent="0.25">
      <c r="B17">
        <v>63</v>
      </c>
      <c r="C17" t="s">
        <v>0</v>
      </c>
      <c r="D17">
        <v>0</v>
      </c>
      <c r="E17" t="s">
        <v>6</v>
      </c>
      <c r="F17">
        <v>0.10780000000000001</v>
      </c>
      <c r="G17">
        <v>9.8400000000000001E-2</v>
      </c>
      <c r="H17" t="s">
        <v>3</v>
      </c>
      <c r="I17">
        <v>1.0388999999999999</v>
      </c>
      <c r="J17">
        <v>0.80910000000000004</v>
      </c>
      <c r="K17" t="s">
        <v>8</v>
      </c>
      <c r="L17">
        <v>0.28549999999999998</v>
      </c>
      <c r="M17">
        <v>0.24909999999999999</v>
      </c>
      <c r="N17" t="s">
        <v>9</v>
      </c>
      <c r="O17">
        <v>0.79390000000000005</v>
      </c>
      <c r="P17">
        <v>0.59770000000000001</v>
      </c>
      <c r="Q17" t="s">
        <v>10</v>
      </c>
      <c r="R17">
        <v>0.28620000000000001</v>
      </c>
      <c r="S17">
        <v>0.25</v>
      </c>
      <c r="T17" t="s">
        <v>11</v>
      </c>
      <c r="U17">
        <v>0.79320000000000002</v>
      </c>
      <c r="V17">
        <v>0.5948</v>
      </c>
      <c r="W17" t="s">
        <v>12</v>
      </c>
      <c r="X17">
        <v>0.27910000000000001</v>
      </c>
      <c r="Y17">
        <v>0.24510000000000001</v>
      </c>
      <c r="Z17" t="s">
        <v>13</v>
      </c>
      <c r="AA17">
        <v>0.79330000000000001</v>
      </c>
      <c r="AB17">
        <v>0.59589999999999999</v>
      </c>
    </row>
    <row r="18" spans="1:28" x14ac:dyDescent="0.25">
      <c r="B18">
        <v>83</v>
      </c>
      <c r="C18" t="s">
        <v>0</v>
      </c>
      <c r="D18">
        <v>0</v>
      </c>
      <c r="E18" t="s">
        <v>6</v>
      </c>
      <c r="F18">
        <v>0.1099</v>
      </c>
      <c r="G18">
        <v>9.6500000000000002E-2</v>
      </c>
      <c r="H18" t="s">
        <v>3</v>
      </c>
      <c r="I18">
        <v>1.0351999999999999</v>
      </c>
      <c r="J18">
        <v>0.8</v>
      </c>
      <c r="K18" t="s">
        <v>8</v>
      </c>
      <c r="L18">
        <v>0.2823</v>
      </c>
      <c r="M18">
        <v>0.25040000000000001</v>
      </c>
      <c r="N18" t="s">
        <v>9</v>
      </c>
      <c r="O18">
        <v>0.79390000000000005</v>
      </c>
      <c r="P18">
        <v>0.59519999999999995</v>
      </c>
      <c r="Q18" t="s">
        <v>10</v>
      </c>
      <c r="R18">
        <v>0.28389999999999999</v>
      </c>
      <c r="S18">
        <v>0.2515</v>
      </c>
      <c r="T18" t="s">
        <v>11</v>
      </c>
      <c r="U18">
        <v>0.79320000000000002</v>
      </c>
      <c r="V18">
        <v>0.59760000000000002</v>
      </c>
      <c r="W18" t="s">
        <v>12</v>
      </c>
      <c r="X18">
        <v>0.2823</v>
      </c>
      <c r="Y18">
        <v>0.24990000000000001</v>
      </c>
      <c r="Z18" t="s">
        <v>13</v>
      </c>
      <c r="AA18">
        <v>0.79459999999999997</v>
      </c>
      <c r="AB18">
        <v>0.5968</v>
      </c>
    </row>
    <row r="19" spans="1:28" x14ac:dyDescent="0.25">
      <c r="A19" t="s">
        <v>23</v>
      </c>
      <c r="F19">
        <v>0.10815999999999999</v>
      </c>
      <c r="G19">
        <v>9.8019999999999996E-2</v>
      </c>
      <c r="I19">
        <v>1.0363599999999999</v>
      </c>
      <c r="J19">
        <v>0.80253999999999992</v>
      </c>
      <c r="L19">
        <v>0.28158</v>
      </c>
      <c r="M19">
        <v>0.24837999999999999</v>
      </c>
      <c r="O19">
        <v>0.79453999999999991</v>
      </c>
      <c r="P19">
        <v>0.59740000000000004</v>
      </c>
      <c r="R19">
        <v>0.28408</v>
      </c>
      <c r="S19">
        <v>0.25128000000000006</v>
      </c>
      <c r="U19">
        <v>0.7930600000000001</v>
      </c>
      <c r="V19">
        <v>0.59716000000000002</v>
      </c>
      <c r="X19">
        <v>0.28222000000000003</v>
      </c>
      <c r="Y19">
        <v>0.24684</v>
      </c>
      <c r="AA19">
        <v>0.79324000000000006</v>
      </c>
      <c r="AB19">
        <v>0.59577999999999998</v>
      </c>
    </row>
    <row r="20" spans="1:28" x14ac:dyDescent="0.25">
      <c r="A20" s="4" t="s">
        <v>25</v>
      </c>
      <c r="B20" s="4"/>
      <c r="C20" s="4"/>
      <c r="D20" s="4"/>
      <c r="E20" s="4"/>
      <c r="F20" s="4">
        <v>9.134549797335371E-4</v>
      </c>
      <c r="G20" s="4">
        <v>3.1294727990509828E-3</v>
      </c>
      <c r="H20" s="4"/>
      <c r="I20" s="4">
        <v>1.7281203661782306E-3</v>
      </c>
      <c r="J20" s="4">
        <v>4.3706292453147E-3</v>
      </c>
      <c r="K20" s="4"/>
      <c r="L20" s="4">
        <v>2.3370066324253282E-3</v>
      </c>
      <c r="M20" s="4">
        <v>1.4034243834279054E-3</v>
      </c>
      <c r="N20" s="4"/>
      <c r="O20" s="4">
        <v>1.7130090484290977E-3</v>
      </c>
      <c r="P20" s="4">
        <v>1.4601369798755202E-3</v>
      </c>
      <c r="Q20" s="4"/>
      <c r="R20" s="4">
        <v>1.1124747188138819E-3</v>
      </c>
      <c r="S20" s="4">
        <v>1.4606847709208155E-3</v>
      </c>
      <c r="T20" s="4"/>
      <c r="U20" s="4">
        <v>2.4979991993594929E-4</v>
      </c>
      <c r="V20" s="4">
        <v>1.8895502110290888E-3</v>
      </c>
      <c r="W20" s="4"/>
      <c r="X20" s="4">
        <v>1.6265300489077931E-3</v>
      </c>
      <c r="Y20" s="4">
        <v>2.494473892427023E-3</v>
      </c>
      <c r="Z20" s="4"/>
      <c r="AA20" s="4">
        <v>7.9145435749636761E-4</v>
      </c>
      <c r="AB20" s="4">
        <v>6.0133185513491652E-4</v>
      </c>
    </row>
    <row r="21" spans="1:28" x14ac:dyDescent="0.25">
      <c r="A21" t="s">
        <v>26</v>
      </c>
      <c r="F21">
        <v>41.46759061776649</v>
      </c>
      <c r="G21">
        <v>29.916870341981099</v>
      </c>
      <c r="I21">
        <v>55.558733077523279</v>
      </c>
      <c r="J21">
        <v>45.278454403749855</v>
      </c>
      <c r="L21">
        <v>41.618837193486577</v>
      </c>
      <c r="M21">
        <v>44.958552099071085</v>
      </c>
      <c r="O21">
        <v>53.32712218088669</v>
      </c>
      <c r="P21">
        <v>52.237432361816829</v>
      </c>
      <c r="R21">
        <v>48.143010178957979</v>
      </c>
      <c r="S21">
        <v>44.712028440990785</v>
      </c>
      <c r="U21">
        <v>70.034275016820573</v>
      </c>
      <c r="V21">
        <v>49.994645448994945</v>
      </c>
      <c r="X21">
        <v>44.786513931454763</v>
      </c>
      <c r="Y21">
        <v>39.908731496813118</v>
      </c>
      <c r="AA21">
        <v>60.019574626754341</v>
      </c>
      <c r="AB21">
        <v>59.91943418400421</v>
      </c>
    </row>
    <row r="22" spans="1:28" x14ac:dyDescent="0.25">
      <c r="A22" t="s">
        <v>24</v>
      </c>
      <c r="F22">
        <v>0.13200000000000001</v>
      </c>
      <c r="G22">
        <v>0.13150000000000001</v>
      </c>
      <c r="I22">
        <v>1.0964</v>
      </c>
      <c r="J22">
        <v>0.98570000000000002</v>
      </c>
      <c r="L22">
        <v>0.30570000000000003</v>
      </c>
      <c r="M22">
        <v>0.30449999999999999</v>
      </c>
      <c r="O22">
        <v>0.82930000000000004</v>
      </c>
      <c r="P22">
        <v>0.72940000000000005</v>
      </c>
      <c r="R22">
        <v>0.30570000000000003</v>
      </c>
      <c r="S22">
        <v>0.30449999999999999</v>
      </c>
      <c r="U22">
        <v>0.82930000000000004</v>
      </c>
      <c r="V22">
        <v>0.72940000000000005</v>
      </c>
      <c r="X22">
        <v>0.30570000000000003</v>
      </c>
      <c r="Y22">
        <v>0.30449999999999999</v>
      </c>
      <c r="AA22">
        <v>0.82930000000000004</v>
      </c>
      <c r="AB22">
        <v>0.72940000000000005</v>
      </c>
    </row>
    <row r="23" spans="1:28" s="5" customFormat="1" x14ac:dyDescent="0.25">
      <c r="A23" s="5" t="s">
        <v>30</v>
      </c>
      <c r="F23" s="5">
        <v>0.77958579881656787</v>
      </c>
      <c r="G23" s="5">
        <v>0.6584370536625177</v>
      </c>
      <c r="I23" s="5">
        <v>0.94206646339109956</v>
      </c>
      <c r="J23" s="5">
        <v>0.77177461559548421</v>
      </c>
      <c r="L23" s="5">
        <v>0.91434050713829096</v>
      </c>
      <c r="M23" s="5">
        <v>0.77405588211611243</v>
      </c>
      <c r="O23" s="5">
        <v>0.95625141591361018</v>
      </c>
      <c r="P23" s="5">
        <v>0.77904251757616338</v>
      </c>
      <c r="R23" s="5">
        <v>0.92389467755561805</v>
      </c>
      <c r="S23" s="5">
        <v>0.7882043935052534</v>
      </c>
      <c r="U23" s="5">
        <v>0.95430358358762268</v>
      </c>
      <c r="V23" s="5">
        <v>0.7785518119097059</v>
      </c>
      <c r="X23" s="5">
        <v>0.9168024945078308</v>
      </c>
      <c r="Y23" s="5">
        <v>0.76640738940204189</v>
      </c>
      <c r="AA23" s="5">
        <v>0.95454087035449553</v>
      </c>
      <c r="AB23" s="5">
        <v>0.77572258216120038</v>
      </c>
    </row>
    <row r="25" spans="1:28" x14ac:dyDescent="0.25">
      <c r="A25" t="s">
        <v>16</v>
      </c>
      <c r="F25" s="15"/>
      <c r="G25" s="15"/>
      <c r="I25" s="15"/>
      <c r="J25" s="15"/>
      <c r="L25" s="15"/>
      <c r="M25" s="15"/>
      <c r="O25" s="15"/>
      <c r="P25" s="15"/>
      <c r="R25" s="15"/>
      <c r="S25" s="15"/>
      <c r="U25" s="15"/>
      <c r="V25" s="15"/>
      <c r="X25" s="15"/>
      <c r="Y25" s="15"/>
      <c r="AA25" s="15"/>
      <c r="AB25" s="15"/>
    </row>
    <row r="26" spans="1:28" x14ac:dyDescent="0.25">
      <c r="B26">
        <v>5</v>
      </c>
      <c r="C26" t="s">
        <v>0</v>
      </c>
      <c r="D26">
        <v>0</v>
      </c>
      <c r="E26" t="s">
        <v>6</v>
      </c>
      <c r="F26">
        <v>0.879</v>
      </c>
      <c r="G26">
        <v>0.65620000000000001</v>
      </c>
      <c r="H26" t="s">
        <v>3</v>
      </c>
      <c r="I26">
        <v>0.10829999999999999</v>
      </c>
      <c r="J26">
        <v>9.4899999999999998E-2</v>
      </c>
      <c r="K26" t="s">
        <v>8</v>
      </c>
      <c r="L26">
        <v>0.94989999999999997</v>
      </c>
      <c r="M26">
        <v>0.72130000000000005</v>
      </c>
      <c r="N26" t="s">
        <v>9</v>
      </c>
      <c r="O26">
        <v>0.36840000000000001</v>
      </c>
      <c r="P26">
        <v>0.3206</v>
      </c>
      <c r="Q26" t="s">
        <v>10</v>
      </c>
      <c r="R26">
        <v>0.88449999999999995</v>
      </c>
      <c r="S26">
        <v>0.65920000000000001</v>
      </c>
      <c r="T26" t="s">
        <v>11</v>
      </c>
      <c r="U26">
        <v>0.36990000000000001</v>
      </c>
      <c r="V26">
        <v>0.32740000000000002</v>
      </c>
      <c r="W26" t="s">
        <v>12</v>
      </c>
      <c r="X26">
        <v>0.87360000000000004</v>
      </c>
      <c r="Y26">
        <v>0.63560000000000005</v>
      </c>
      <c r="Z26" t="s">
        <v>13</v>
      </c>
      <c r="AA26">
        <v>0.372</v>
      </c>
      <c r="AB26">
        <v>0.32629999999999998</v>
      </c>
    </row>
    <row r="27" spans="1:28" x14ac:dyDescent="0.25">
      <c r="B27">
        <v>25</v>
      </c>
      <c r="C27" t="s">
        <v>0</v>
      </c>
      <c r="D27">
        <v>0</v>
      </c>
      <c r="E27" t="s">
        <v>6</v>
      </c>
      <c r="F27">
        <v>0.87309999999999999</v>
      </c>
      <c r="G27">
        <v>0.64039999999999997</v>
      </c>
      <c r="H27" t="s">
        <v>3</v>
      </c>
      <c r="I27">
        <v>0.10580000000000001</v>
      </c>
      <c r="J27">
        <v>9.4399999999999998E-2</v>
      </c>
      <c r="K27" t="s">
        <v>8</v>
      </c>
      <c r="L27">
        <v>0.94499999999999995</v>
      </c>
      <c r="M27">
        <v>0.69950000000000001</v>
      </c>
      <c r="N27" t="s">
        <v>9</v>
      </c>
      <c r="O27">
        <v>0.37330000000000002</v>
      </c>
      <c r="P27">
        <v>0.31919999999999998</v>
      </c>
      <c r="Q27" t="s">
        <v>10</v>
      </c>
      <c r="R27">
        <v>0.87280000000000002</v>
      </c>
      <c r="S27">
        <v>0.65380000000000005</v>
      </c>
      <c r="T27" t="s">
        <v>11</v>
      </c>
      <c r="U27">
        <v>0.36859999999999998</v>
      </c>
      <c r="V27">
        <v>0.32569999999999999</v>
      </c>
      <c r="W27" t="s">
        <v>12</v>
      </c>
      <c r="X27">
        <v>0.875</v>
      </c>
      <c r="Y27">
        <v>0.67020000000000002</v>
      </c>
      <c r="Z27" t="s">
        <v>13</v>
      </c>
      <c r="AA27">
        <v>0.36270000000000002</v>
      </c>
      <c r="AB27">
        <v>0.34200000000000003</v>
      </c>
    </row>
    <row r="28" spans="1:28" x14ac:dyDescent="0.25">
      <c r="B28">
        <v>45</v>
      </c>
      <c r="C28" t="s">
        <v>0</v>
      </c>
      <c r="D28">
        <v>0</v>
      </c>
      <c r="E28" t="s">
        <v>6</v>
      </c>
      <c r="F28">
        <v>0.87670000000000003</v>
      </c>
      <c r="G28">
        <v>0.64670000000000005</v>
      </c>
      <c r="H28" t="s">
        <v>3</v>
      </c>
      <c r="I28">
        <v>0.1074</v>
      </c>
      <c r="J28">
        <v>9.4899999999999998E-2</v>
      </c>
      <c r="K28" t="s">
        <v>8</v>
      </c>
      <c r="L28">
        <v>0.95179999999999998</v>
      </c>
      <c r="M28">
        <v>0.72270000000000001</v>
      </c>
      <c r="N28" t="s">
        <v>9</v>
      </c>
      <c r="O28">
        <v>0.37059999999999998</v>
      </c>
      <c r="P28">
        <v>0.3211</v>
      </c>
      <c r="Q28" t="s">
        <v>10</v>
      </c>
      <c r="R28">
        <v>0.87919999999999998</v>
      </c>
      <c r="S28">
        <v>0.65749999999999997</v>
      </c>
      <c r="T28" t="s">
        <v>11</v>
      </c>
      <c r="U28">
        <v>0.36809999999999998</v>
      </c>
      <c r="V28">
        <v>0.31900000000000001</v>
      </c>
      <c r="W28" t="s">
        <v>12</v>
      </c>
      <c r="X28">
        <v>0.87549999999999994</v>
      </c>
      <c r="Y28">
        <v>0.65349999999999997</v>
      </c>
      <c r="Z28" t="s">
        <v>13</v>
      </c>
      <c r="AA28">
        <v>0.36840000000000001</v>
      </c>
      <c r="AB28">
        <v>0.32969999999999999</v>
      </c>
    </row>
    <row r="29" spans="1:28" x14ac:dyDescent="0.25">
      <c r="B29">
        <v>65</v>
      </c>
      <c r="C29" t="s">
        <v>0</v>
      </c>
      <c r="D29">
        <v>0</v>
      </c>
      <c r="E29" t="s">
        <v>6</v>
      </c>
      <c r="F29">
        <v>0.87719999999999998</v>
      </c>
      <c r="G29">
        <v>0.65890000000000004</v>
      </c>
      <c r="H29" t="s">
        <v>3</v>
      </c>
      <c r="I29">
        <v>0.10730000000000001</v>
      </c>
      <c r="J29">
        <v>9.4600000000000004E-2</v>
      </c>
      <c r="K29" t="s">
        <v>8</v>
      </c>
      <c r="L29">
        <v>0.95289999999999997</v>
      </c>
      <c r="M29">
        <v>0.72</v>
      </c>
      <c r="N29" t="s">
        <v>9</v>
      </c>
      <c r="O29">
        <v>0.36969999999999997</v>
      </c>
      <c r="P29">
        <v>0.32029999999999997</v>
      </c>
      <c r="Q29" t="s">
        <v>10</v>
      </c>
      <c r="R29">
        <v>0.88090000000000002</v>
      </c>
      <c r="S29">
        <v>0.65759999999999996</v>
      </c>
      <c r="T29" t="s">
        <v>11</v>
      </c>
      <c r="U29">
        <v>0.36680000000000001</v>
      </c>
      <c r="V29">
        <v>0.3206</v>
      </c>
      <c r="W29" t="s">
        <v>12</v>
      </c>
      <c r="X29">
        <v>0.87760000000000005</v>
      </c>
      <c r="Y29">
        <v>0.65780000000000005</v>
      </c>
      <c r="Z29" t="s">
        <v>13</v>
      </c>
      <c r="AA29">
        <v>0.36990000000000001</v>
      </c>
      <c r="AB29">
        <v>0.33500000000000002</v>
      </c>
    </row>
    <row r="30" spans="1:28" x14ac:dyDescent="0.25">
      <c r="B30">
        <v>85</v>
      </c>
      <c r="C30" t="s">
        <v>0</v>
      </c>
      <c r="D30">
        <v>0</v>
      </c>
      <c r="E30" t="s">
        <v>6</v>
      </c>
      <c r="F30">
        <v>0.87929999999999997</v>
      </c>
      <c r="G30">
        <v>0.6552</v>
      </c>
      <c r="H30" t="s">
        <v>3</v>
      </c>
      <c r="I30">
        <v>0.1082</v>
      </c>
      <c r="J30">
        <v>9.4600000000000004E-2</v>
      </c>
      <c r="K30" t="s">
        <v>8</v>
      </c>
      <c r="L30">
        <v>0.95269999999999999</v>
      </c>
      <c r="M30">
        <v>0.72440000000000004</v>
      </c>
      <c r="N30" t="s">
        <v>9</v>
      </c>
      <c r="O30">
        <v>0.3695</v>
      </c>
      <c r="P30">
        <v>0.32479999999999998</v>
      </c>
      <c r="Q30" t="s">
        <v>10</v>
      </c>
      <c r="R30">
        <v>0.88180000000000003</v>
      </c>
      <c r="S30">
        <v>0.65580000000000005</v>
      </c>
      <c r="T30" t="s">
        <v>11</v>
      </c>
      <c r="U30">
        <v>0.36909999999999998</v>
      </c>
      <c r="V30">
        <v>0.3201</v>
      </c>
      <c r="W30" t="s">
        <v>12</v>
      </c>
      <c r="X30">
        <v>0.87549999999999994</v>
      </c>
      <c r="Y30">
        <v>0.65300000000000002</v>
      </c>
      <c r="Z30" t="s">
        <v>13</v>
      </c>
      <c r="AA30">
        <v>0.36699999999999999</v>
      </c>
      <c r="AB30">
        <v>0.33019999999999999</v>
      </c>
    </row>
    <row r="31" spans="1:28" x14ac:dyDescent="0.25">
      <c r="A31" t="s">
        <v>23</v>
      </c>
      <c r="F31">
        <v>0.87705999999999995</v>
      </c>
      <c r="G31">
        <v>0.65147999999999995</v>
      </c>
      <c r="I31">
        <v>0.10740000000000001</v>
      </c>
      <c r="J31">
        <v>9.4680000000000014E-2</v>
      </c>
      <c r="L31">
        <v>0.95045999999999997</v>
      </c>
      <c r="M31">
        <v>0.71758000000000011</v>
      </c>
      <c r="O31">
        <v>0.37029999999999996</v>
      </c>
      <c r="P31">
        <v>0.32119999999999999</v>
      </c>
      <c r="R31">
        <v>0.87983999999999996</v>
      </c>
      <c r="S31">
        <v>0.65678000000000003</v>
      </c>
      <c r="U31">
        <v>0.36849999999999994</v>
      </c>
      <c r="V31">
        <v>0.32256000000000001</v>
      </c>
      <c r="X31">
        <v>0.87544</v>
      </c>
      <c r="Y31">
        <v>0.65402000000000005</v>
      </c>
      <c r="AA31">
        <v>0.36799999999999999</v>
      </c>
      <c r="AB31">
        <v>0.33263999999999999</v>
      </c>
    </row>
    <row r="32" spans="1:28" s="4" customFormat="1" x14ac:dyDescent="0.25">
      <c r="A32" s="4" t="s">
        <v>25</v>
      </c>
      <c r="F32" s="4">
        <v>2.2186482371029416E-3</v>
      </c>
      <c r="G32" s="4">
        <v>6.8816858399668446E-3</v>
      </c>
      <c r="I32" s="4">
        <v>8.9666047085839337E-4</v>
      </c>
      <c r="J32" s="4">
        <v>1.9390719429665241E-4</v>
      </c>
      <c r="L32" s="4">
        <v>2.9288905749447289E-3</v>
      </c>
      <c r="M32" s="4">
        <v>9.1575979383242256E-3</v>
      </c>
      <c r="O32" s="4">
        <v>1.655294535724693E-3</v>
      </c>
      <c r="P32" s="4">
        <v>1.9047309521294581E-3</v>
      </c>
      <c r="R32" s="4">
        <v>3.9154054707015839E-3</v>
      </c>
      <c r="S32" s="4">
        <v>1.8378248012255987E-3</v>
      </c>
      <c r="U32" s="4">
        <v>1.0373041983911912E-3</v>
      </c>
      <c r="V32" s="4">
        <v>3.3422148345072064E-3</v>
      </c>
      <c r="X32" s="4">
        <v>1.2846789482201402E-3</v>
      </c>
      <c r="Y32" s="4">
        <v>1.1105746260382495E-2</v>
      </c>
      <c r="AA32" s="4">
        <v>3.1260198335903047E-3</v>
      </c>
      <c r="AB32" s="4">
        <v>5.44007352891486E-3</v>
      </c>
    </row>
    <row r="33" spans="1:28" x14ac:dyDescent="0.25">
      <c r="A33" t="s">
        <v>26</v>
      </c>
      <c r="F33">
        <v>51.938817071779624</v>
      </c>
      <c r="G33">
        <v>39.524124904157148</v>
      </c>
      <c r="I33">
        <v>41.567525139786248</v>
      </c>
      <c r="J33">
        <v>53.773286535864322</v>
      </c>
      <c r="L33">
        <v>50.224613957247257</v>
      </c>
      <c r="M33">
        <v>37.881775074951221</v>
      </c>
      <c r="O33">
        <v>46.993568612784927</v>
      </c>
      <c r="P33">
        <v>44.538837948252301</v>
      </c>
      <c r="R33">
        <v>47.032539180843514</v>
      </c>
      <c r="S33">
        <v>51.062316227406654</v>
      </c>
      <c r="U33">
        <v>51.01062713059774</v>
      </c>
      <c r="V33">
        <v>39.691522958468497</v>
      </c>
      <c r="X33">
        <v>56.66863557462981</v>
      </c>
      <c r="Y33">
        <v>35.400865652670291</v>
      </c>
      <c r="AA33">
        <v>41.417121790456378</v>
      </c>
      <c r="AB33">
        <v>35.727394045099807</v>
      </c>
    </row>
    <row r="34" spans="1:28" x14ac:dyDescent="0.25">
      <c r="A34" t="s">
        <v>24</v>
      </c>
      <c r="F34">
        <v>0.92290000000000005</v>
      </c>
      <c r="G34">
        <v>0.81840000000000002</v>
      </c>
      <c r="I34">
        <v>0.13200000000000001</v>
      </c>
      <c r="J34">
        <v>0.13150000000000001</v>
      </c>
      <c r="L34">
        <v>0.99839999999999995</v>
      </c>
      <c r="M34">
        <v>0.89080000000000004</v>
      </c>
      <c r="O34">
        <v>0.3992</v>
      </c>
      <c r="P34">
        <v>0.39760000000000001</v>
      </c>
      <c r="R34">
        <v>0.92290000000000005</v>
      </c>
      <c r="S34">
        <v>0.81840000000000002</v>
      </c>
      <c r="U34">
        <v>0.3992</v>
      </c>
      <c r="V34">
        <v>0.39760000000000001</v>
      </c>
      <c r="X34">
        <v>0.92290000000000005</v>
      </c>
      <c r="Y34">
        <v>0.81840000000000002</v>
      </c>
      <c r="AA34">
        <v>0.3992</v>
      </c>
      <c r="AB34">
        <v>0.39760000000000001</v>
      </c>
    </row>
    <row r="35" spans="1:28" s="5" customFormat="1" x14ac:dyDescent="0.25">
      <c r="A35" s="5" t="s">
        <v>30</v>
      </c>
      <c r="F35" s="5">
        <v>0.94773447654664433</v>
      </c>
      <c r="G35" s="5">
        <v>0.74378338552219547</v>
      </c>
      <c r="I35" s="5">
        <v>0.77094972067039114</v>
      </c>
      <c r="J35" s="5">
        <v>0.61111111111111127</v>
      </c>
      <c r="L35" s="5">
        <v>0.94956126507164951</v>
      </c>
      <c r="M35" s="5">
        <v>0.75860531229967409</v>
      </c>
      <c r="O35" s="5">
        <v>0.92195517148258155</v>
      </c>
      <c r="P35" s="5">
        <v>0.76214196762141961</v>
      </c>
      <c r="R35" s="5">
        <v>0.95105928350609192</v>
      </c>
      <c r="S35" s="5">
        <v>0.75392064313773255</v>
      </c>
      <c r="U35" s="5">
        <v>0.91668928086838519</v>
      </c>
      <c r="V35" s="5">
        <v>0.76736111111111116</v>
      </c>
      <c r="X35" s="5">
        <v>0.94578726126290769</v>
      </c>
      <c r="Y35" s="5">
        <v>0.7486621204244519</v>
      </c>
      <c r="AA35" s="5">
        <v>0.91521739130434776</v>
      </c>
      <c r="AB35" s="5">
        <v>0.80471380471380471</v>
      </c>
    </row>
    <row r="37" spans="1:28" x14ac:dyDescent="0.25">
      <c r="A37" t="s">
        <v>17</v>
      </c>
      <c r="F37" s="15"/>
      <c r="G37" s="15"/>
      <c r="I37" s="15"/>
      <c r="J37" s="15"/>
      <c r="L37" s="15"/>
      <c r="M37" s="15"/>
      <c r="O37" s="15"/>
      <c r="P37" s="15"/>
      <c r="R37" s="15"/>
      <c r="S37" s="15"/>
      <c r="U37" s="15"/>
      <c r="V37" s="15"/>
      <c r="X37" s="15"/>
      <c r="Y37" s="15"/>
      <c r="AA37" s="15"/>
      <c r="AB37" s="15"/>
    </row>
    <row r="38" spans="1:28" x14ac:dyDescent="0.25">
      <c r="B38">
        <v>7</v>
      </c>
      <c r="C38" t="s">
        <v>0</v>
      </c>
      <c r="D38">
        <v>0</v>
      </c>
      <c r="E38" t="s">
        <v>6</v>
      </c>
      <c r="F38">
        <v>0.182</v>
      </c>
      <c r="G38">
        <v>0.1653</v>
      </c>
      <c r="H38" t="s">
        <v>3</v>
      </c>
      <c r="I38">
        <v>0.69940000000000002</v>
      </c>
      <c r="J38">
        <v>0.53049999999999997</v>
      </c>
      <c r="K38" t="s">
        <v>8</v>
      </c>
      <c r="L38">
        <v>0.1101</v>
      </c>
      <c r="M38">
        <v>9.8199999999999996E-2</v>
      </c>
      <c r="N38" t="s">
        <v>9</v>
      </c>
      <c r="O38">
        <v>0.81850000000000001</v>
      </c>
      <c r="P38">
        <v>0.63570000000000004</v>
      </c>
      <c r="Q38" t="s">
        <v>10</v>
      </c>
      <c r="R38">
        <v>0.18579999999999999</v>
      </c>
      <c r="S38">
        <v>0.17269999999999999</v>
      </c>
      <c r="T38" t="s">
        <v>11</v>
      </c>
      <c r="U38">
        <v>0.69510000000000005</v>
      </c>
      <c r="V38">
        <v>0.52700000000000002</v>
      </c>
      <c r="W38" t="s">
        <v>12</v>
      </c>
      <c r="X38">
        <v>0.18740000000000001</v>
      </c>
      <c r="Y38">
        <v>0.16289999999999999</v>
      </c>
      <c r="Z38" t="s">
        <v>13</v>
      </c>
      <c r="AA38">
        <v>0.69589999999999996</v>
      </c>
      <c r="AB38">
        <v>0.52080000000000004</v>
      </c>
    </row>
    <row r="39" spans="1:28" x14ac:dyDescent="0.25">
      <c r="B39">
        <v>27</v>
      </c>
      <c r="C39" t="s">
        <v>0</v>
      </c>
      <c r="D39">
        <v>0</v>
      </c>
      <c r="E39" t="s">
        <v>6</v>
      </c>
      <c r="F39">
        <v>0.18770000000000001</v>
      </c>
      <c r="G39">
        <v>0.17760000000000001</v>
      </c>
      <c r="H39" t="s">
        <v>3</v>
      </c>
      <c r="I39">
        <v>0.69699999999999995</v>
      </c>
      <c r="J39">
        <v>0.53029999999999999</v>
      </c>
      <c r="K39" t="s">
        <v>8</v>
      </c>
      <c r="L39">
        <v>0.1108</v>
      </c>
      <c r="M39">
        <v>0.10050000000000001</v>
      </c>
      <c r="N39" t="s">
        <v>9</v>
      </c>
      <c r="O39">
        <v>0.82240000000000002</v>
      </c>
      <c r="P39">
        <v>0.62339999999999995</v>
      </c>
      <c r="Q39" t="s">
        <v>10</v>
      </c>
      <c r="R39">
        <v>0.18729999999999999</v>
      </c>
      <c r="S39">
        <v>0.1704</v>
      </c>
      <c r="T39" t="s">
        <v>11</v>
      </c>
      <c r="U39">
        <v>0.69579999999999997</v>
      </c>
      <c r="V39">
        <v>0.52790000000000004</v>
      </c>
      <c r="W39" t="s">
        <v>12</v>
      </c>
      <c r="X39">
        <v>0.18590000000000001</v>
      </c>
      <c r="Y39">
        <v>0.1721</v>
      </c>
      <c r="Z39" t="s">
        <v>13</v>
      </c>
      <c r="AA39">
        <v>0.69699999999999995</v>
      </c>
      <c r="AB39">
        <v>0.52669999999999995</v>
      </c>
    </row>
    <row r="40" spans="1:28" x14ac:dyDescent="0.25">
      <c r="B40">
        <v>47</v>
      </c>
      <c r="C40" t="s">
        <v>0</v>
      </c>
      <c r="D40">
        <v>0</v>
      </c>
      <c r="E40" t="s">
        <v>6</v>
      </c>
      <c r="F40">
        <v>0.19059999999999999</v>
      </c>
      <c r="G40">
        <v>0.17829999999999999</v>
      </c>
      <c r="H40" t="s">
        <v>3</v>
      </c>
      <c r="I40">
        <v>0.69720000000000004</v>
      </c>
      <c r="J40">
        <v>0.53280000000000005</v>
      </c>
      <c r="K40" t="s">
        <v>8</v>
      </c>
      <c r="L40">
        <v>0.1096</v>
      </c>
      <c r="M40">
        <v>0.10050000000000001</v>
      </c>
      <c r="N40" t="s">
        <v>9</v>
      </c>
      <c r="O40">
        <v>0.82069999999999999</v>
      </c>
      <c r="P40">
        <v>0.64219999999999999</v>
      </c>
      <c r="Q40" t="s">
        <v>10</v>
      </c>
      <c r="R40">
        <v>0.18709999999999999</v>
      </c>
      <c r="S40">
        <v>0.1716</v>
      </c>
      <c r="T40" t="s">
        <v>11</v>
      </c>
      <c r="U40">
        <v>0.69550000000000001</v>
      </c>
      <c r="V40">
        <v>0.53069999999999995</v>
      </c>
      <c r="W40" t="s">
        <v>12</v>
      </c>
      <c r="X40">
        <v>0.18629999999999999</v>
      </c>
      <c r="Y40">
        <v>0.17019999999999999</v>
      </c>
      <c r="Z40" t="s">
        <v>13</v>
      </c>
      <c r="AA40">
        <v>0.69689999999999996</v>
      </c>
      <c r="AB40">
        <v>0.52349999999999997</v>
      </c>
    </row>
    <row r="41" spans="1:28" x14ac:dyDescent="0.25">
      <c r="B41">
        <v>67</v>
      </c>
      <c r="C41" t="s">
        <v>0</v>
      </c>
      <c r="D41">
        <v>0</v>
      </c>
      <c r="E41" t="s">
        <v>6</v>
      </c>
      <c r="F41">
        <v>0.18809999999999999</v>
      </c>
      <c r="G41">
        <v>0.17710000000000001</v>
      </c>
      <c r="H41" t="s">
        <v>3</v>
      </c>
      <c r="I41">
        <v>0.69869999999999999</v>
      </c>
      <c r="J41">
        <v>0.52959999999999996</v>
      </c>
      <c r="K41" t="s">
        <v>8</v>
      </c>
      <c r="L41">
        <v>0.109</v>
      </c>
      <c r="M41">
        <v>0.10009999999999999</v>
      </c>
      <c r="N41" t="s">
        <v>9</v>
      </c>
      <c r="O41">
        <v>0.82210000000000005</v>
      </c>
      <c r="P41">
        <v>0.63690000000000002</v>
      </c>
      <c r="Q41" t="s">
        <v>10</v>
      </c>
      <c r="R41">
        <v>0.18640000000000001</v>
      </c>
      <c r="S41">
        <v>0.1711</v>
      </c>
      <c r="T41" t="s">
        <v>11</v>
      </c>
      <c r="U41">
        <v>0.69679999999999997</v>
      </c>
      <c r="V41">
        <v>0.52969999999999995</v>
      </c>
      <c r="W41" t="s">
        <v>12</v>
      </c>
      <c r="X41">
        <v>0.18629999999999999</v>
      </c>
      <c r="Y41">
        <v>0.17130000000000001</v>
      </c>
      <c r="Z41" t="s">
        <v>13</v>
      </c>
      <c r="AA41">
        <v>0.69650000000000001</v>
      </c>
      <c r="AB41">
        <v>0.52580000000000005</v>
      </c>
    </row>
    <row r="42" spans="1:28" x14ac:dyDescent="0.25">
      <c r="B42">
        <v>87</v>
      </c>
      <c r="C42" t="s">
        <v>0</v>
      </c>
      <c r="D42">
        <v>0</v>
      </c>
      <c r="E42" t="s">
        <v>6</v>
      </c>
      <c r="F42">
        <v>0.18870000000000001</v>
      </c>
      <c r="G42">
        <v>0.17499999999999999</v>
      </c>
      <c r="H42" t="s">
        <v>3</v>
      </c>
      <c r="I42">
        <v>0.69489999999999996</v>
      </c>
      <c r="J42">
        <v>0.52959999999999996</v>
      </c>
      <c r="K42" t="s">
        <v>8</v>
      </c>
      <c r="L42">
        <v>0.1101</v>
      </c>
      <c r="M42">
        <v>0.1019</v>
      </c>
      <c r="N42" t="s">
        <v>9</v>
      </c>
      <c r="O42">
        <v>0.82069999999999999</v>
      </c>
      <c r="P42">
        <v>0.63639999999999997</v>
      </c>
      <c r="Q42" t="s">
        <v>10</v>
      </c>
      <c r="R42">
        <v>0.18720000000000001</v>
      </c>
      <c r="S42">
        <v>0.1729</v>
      </c>
      <c r="T42" t="s">
        <v>11</v>
      </c>
      <c r="U42">
        <v>0.69410000000000005</v>
      </c>
      <c r="V42">
        <v>0.52990000000000004</v>
      </c>
      <c r="W42" t="s">
        <v>12</v>
      </c>
      <c r="X42">
        <v>0.18590000000000001</v>
      </c>
      <c r="Y42">
        <v>0.1633</v>
      </c>
      <c r="Z42" t="s">
        <v>13</v>
      </c>
      <c r="AA42">
        <v>0.69820000000000004</v>
      </c>
      <c r="AB42">
        <v>0.52829999999999999</v>
      </c>
    </row>
    <row r="43" spans="1:28" x14ac:dyDescent="0.25">
      <c r="A43" t="s">
        <v>23</v>
      </c>
      <c r="F43">
        <v>0.18741999999999998</v>
      </c>
      <c r="G43">
        <v>0.17465999999999998</v>
      </c>
      <c r="I43">
        <v>0.69744000000000006</v>
      </c>
      <c r="J43">
        <v>0.53055999999999992</v>
      </c>
      <c r="L43">
        <v>0.10991999999999999</v>
      </c>
      <c r="M43">
        <v>0.10024</v>
      </c>
      <c r="O43">
        <v>0.82088000000000005</v>
      </c>
      <c r="P43">
        <v>0.63491999999999993</v>
      </c>
      <c r="R43">
        <v>0.18676000000000001</v>
      </c>
      <c r="S43">
        <v>0.17174</v>
      </c>
      <c r="U43">
        <v>0.69546000000000008</v>
      </c>
      <c r="V43">
        <v>0.52903999999999995</v>
      </c>
      <c r="X43">
        <v>0.18636</v>
      </c>
      <c r="Y43">
        <v>0.16796</v>
      </c>
      <c r="AA43">
        <v>0.69689999999999996</v>
      </c>
      <c r="AB43">
        <v>0.52501999999999993</v>
      </c>
    </row>
    <row r="44" spans="1:28" s="4" customFormat="1" x14ac:dyDescent="0.25">
      <c r="A44" s="4" t="s">
        <v>25</v>
      </c>
      <c r="F44" s="4">
        <v>2.8867975336001658E-3</v>
      </c>
      <c r="G44" s="4">
        <v>4.8077437535708981E-3</v>
      </c>
      <c r="I44" s="4">
        <v>1.5576905982896774E-3</v>
      </c>
      <c r="J44" s="4">
        <v>1.1774548823628354E-3</v>
      </c>
      <c r="L44" s="4">
        <v>5.9799665550904109E-4</v>
      </c>
      <c r="M44" s="4">
        <v>1.1892854997854838E-3</v>
      </c>
      <c r="O44" s="4">
        <v>1.3804347141390047E-3</v>
      </c>
      <c r="P44" s="4">
        <v>6.2036763294034125E-3</v>
      </c>
      <c r="R44" s="4">
        <v>5.7480431452799593E-4</v>
      </c>
      <c r="S44" s="4">
        <v>9.4783964888582172E-4</v>
      </c>
      <c r="U44" s="4">
        <v>8.822698000044818E-4</v>
      </c>
      <c r="V44" s="4">
        <v>1.3705473359209195E-3</v>
      </c>
      <c r="X44" s="4">
        <v>5.4990908339470196E-4</v>
      </c>
      <c r="Y44" s="4">
        <v>4.0157689176545039E-3</v>
      </c>
      <c r="AA44" s="4">
        <v>7.5630681604758388E-4</v>
      </c>
      <c r="AB44" s="4">
        <v>2.6194655943531536E-3</v>
      </c>
    </row>
    <row r="45" spans="1:28" x14ac:dyDescent="0.25">
      <c r="A45" t="s">
        <v>26</v>
      </c>
      <c r="F45">
        <v>36.247992159327495</v>
      </c>
      <c r="G45">
        <v>31.205042870731067</v>
      </c>
      <c r="I45">
        <v>53.020513060446007</v>
      </c>
      <c r="J45">
        <v>53.075804593624355</v>
      </c>
      <c r="L45">
        <v>45.287559293070714</v>
      </c>
      <c r="M45">
        <v>38.515098683031866</v>
      </c>
      <c r="O45">
        <v>55.485276050651599</v>
      </c>
      <c r="P45">
        <v>40.201397534529519</v>
      </c>
      <c r="R45">
        <v>50.235276918691923</v>
      </c>
      <c r="S45">
        <v>45.162731738720048</v>
      </c>
      <c r="U45">
        <v>57.933414851662647</v>
      </c>
      <c r="V45">
        <v>51.73188939824346</v>
      </c>
      <c r="X45">
        <v>50.60123616723196</v>
      </c>
      <c r="Y45">
        <v>32.428743040736848</v>
      </c>
      <c r="AA45">
        <v>59.289449002467464</v>
      </c>
      <c r="AB45">
        <v>46.039262982154547</v>
      </c>
    </row>
    <row r="46" spans="1:28" x14ac:dyDescent="0.25">
      <c r="A46" t="s">
        <v>24</v>
      </c>
      <c r="F46">
        <v>0.20760000000000001</v>
      </c>
      <c r="G46">
        <v>0.20669999999999999</v>
      </c>
      <c r="I46">
        <v>0.73150000000000004</v>
      </c>
      <c r="J46">
        <v>0.63739999999999997</v>
      </c>
      <c r="L46">
        <v>0.13200000000000001</v>
      </c>
      <c r="M46">
        <v>0.13150000000000001</v>
      </c>
      <c r="O46">
        <v>0.84599999999999997</v>
      </c>
      <c r="P46">
        <v>0.745</v>
      </c>
      <c r="R46">
        <v>0.20760000000000001</v>
      </c>
      <c r="S46">
        <v>0.20669999999999999</v>
      </c>
      <c r="U46">
        <v>0.73150000000000004</v>
      </c>
      <c r="V46">
        <v>0.63739999999999997</v>
      </c>
      <c r="X46">
        <v>0.20760000000000001</v>
      </c>
      <c r="Y46">
        <v>0.20669999999999999</v>
      </c>
      <c r="AA46">
        <v>0.73150000000000004</v>
      </c>
      <c r="AB46">
        <v>0.63739999999999997</v>
      </c>
    </row>
    <row r="47" spans="1:28" s="5" customFormat="1" x14ac:dyDescent="0.25">
      <c r="A47" s="5" t="s">
        <v>30</v>
      </c>
      <c r="F47" s="5">
        <v>0.89232739302102215</v>
      </c>
      <c r="G47" s="5">
        <v>0.81655788388869799</v>
      </c>
      <c r="I47" s="5">
        <v>0.95116425785730674</v>
      </c>
      <c r="J47" s="5">
        <v>0.79862786489746673</v>
      </c>
      <c r="L47" s="5">
        <v>0.79912663755458502</v>
      </c>
      <c r="M47" s="5">
        <v>0.68814844373503581</v>
      </c>
      <c r="O47" s="5">
        <v>0.96939869408439738</v>
      </c>
      <c r="P47" s="5">
        <v>0.8266238266238265</v>
      </c>
      <c r="R47" s="5">
        <v>0.88841293638894836</v>
      </c>
      <c r="S47" s="5">
        <v>0.79643647373937354</v>
      </c>
      <c r="U47" s="5">
        <v>0.94817818422339173</v>
      </c>
      <c r="V47" s="5">
        <v>0.79517616815363668</v>
      </c>
      <c r="X47" s="5">
        <v>0.88602704443013514</v>
      </c>
      <c r="Y47" s="5">
        <v>0.76934984520123839</v>
      </c>
      <c r="AA47" s="5">
        <v>0.95035155689481976</v>
      </c>
      <c r="AB47" s="5">
        <v>0.7859510113900422</v>
      </c>
    </row>
    <row r="49" spans="1:28" x14ac:dyDescent="0.25">
      <c r="A49" t="s">
        <v>18</v>
      </c>
      <c r="F49" s="15"/>
      <c r="G49" s="15"/>
      <c r="I49" s="15"/>
      <c r="J49" s="15"/>
      <c r="L49" s="15"/>
      <c r="M49" s="15"/>
      <c r="O49" s="15"/>
      <c r="P49" s="15"/>
      <c r="R49" s="15"/>
      <c r="S49" s="15"/>
      <c r="U49" s="15"/>
      <c r="V49" s="15"/>
      <c r="X49" s="15"/>
      <c r="Y49" s="15"/>
      <c r="AA49" s="15"/>
      <c r="AB49" s="15"/>
    </row>
    <row r="50" spans="1:28" x14ac:dyDescent="0.25">
      <c r="B50">
        <v>9</v>
      </c>
      <c r="C50" t="s">
        <v>0</v>
      </c>
      <c r="D50">
        <v>0</v>
      </c>
      <c r="E50" t="s">
        <v>6</v>
      </c>
      <c r="F50">
        <v>0.753</v>
      </c>
      <c r="G50">
        <v>0.57630000000000003</v>
      </c>
      <c r="H50" t="s">
        <v>3</v>
      </c>
      <c r="I50">
        <v>0.23369999999999999</v>
      </c>
      <c r="J50">
        <v>0.2024</v>
      </c>
      <c r="K50" t="s">
        <v>8</v>
      </c>
      <c r="L50">
        <v>0.74119999999999997</v>
      </c>
      <c r="M50">
        <v>0.55079999999999996</v>
      </c>
      <c r="N50" t="s">
        <v>9</v>
      </c>
      <c r="O50">
        <v>0.1047</v>
      </c>
      <c r="P50">
        <v>9.0999999999999998E-2</v>
      </c>
      <c r="Q50" t="s">
        <v>10</v>
      </c>
      <c r="R50">
        <v>0.88229999999999997</v>
      </c>
      <c r="S50">
        <v>0.67190000000000005</v>
      </c>
      <c r="T50" t="s">
        <v>11</v>
      </c>
      <c r="U50">
        <v>0.23319999999999999</v>
      </c>
      <c r="V50">
        <v>0.20610000000000001</v>
      </c>
      <c r="W50" t="s">
        <v>12</v>
      </c>
      <c r="X50">
        <v>0.74209999999999998</v>
      </c>
      <c r="Y50">
        <v>0.55159999999999998</v>
      </c>
      <c r="Z50" t="s">
        <v>13</v>
      </c>
      <c r="AA50">
        <v>0.2316</v>
      </c>
      <c r="AB50">
        <v>0.2185</v>
      </c>
    </row>
    <row r="51" spans="1:28" x14ac:dyDescent="0.25">
      <c r="B51">
        <v>29</v>
      </c>
      <c r="C51" t="s">
        <v>0</v>
      </c>
      <c r="D51">
        <v>0</v>
      </c>
      <c r="E51" t="s">
        <v>6</v>
      </c>
      <c r="F51">
        <v>0.74239999999999995</v>
      </c>
      <c r="G51">
        <v>0.55010000000000003</v>
      </c>
      <c r="H51" t="s">
        <v>3</v>
      </c>
      <c r="I51">
        <v>0.2349</v>
      </c>
      <c r="J51">
        <v>0.20730000000000001</v>
      </c>
      <c r="K51" t="s">
        <v>8</v>
      </c>
      <c r="L51">
        <v>0.74370000000000003</v>
      </c>
      <c r="M51">
        <v>0.55310000000000004</v>
      </c>
      <c r="N51" t="s">
        <v>9</v>
      </c>
      <c r="O51">
        <v>0.10879999999999999</v>
      </c>
      <c r="P51">
        <v>9.6799999999999997E-2</v>
      </c>
      <c r="Q51" t="s">
        <v>10</v>
      </c>
      <c r="R51">
        <v>0.88600000000000001</v>
      </c>
      <c r="S51">
        <v>0.67049999999999998</v>
      </c>
      <c r="T51" t="s">
        <v>11</v>
      </c>
      <c r="U51">
        <v>0.2351</v>
      </c>
      <c r="V51">
        <v>0.20430000000000001</v>
      </c>
      <c r="W51" t="s">
        <v>12</v>
      </c>
      <c r="X51">
        <v>0.74160000000000004</v>
      </c>
      <c r="Y51">
        <v>0.55300000000000005</v>
      </c>
      <c r="Z51" t="s">
        <v>13</v>
      </c>
      <c r="AA51">
        <v>0.2339</v>
      </c>
      <c r="AB51">
        <v>0.2152</v>
      </c>
    </row>
    <row r="52" spans="1:28" x14ac:dyDescent="0.25">
      <c r="B52">
        <v>49</v>
      </c>
      <c r="C52" t="s">
        <v>0</v>
      </c>
      <c r="D52">
        <v>0</v>
      </c>
      <c r="E52" t="s">
        <v>6</v>
      </c>
      <c r="F52">
        <v>0.74509999999999998</v>
      </c>
      <c r="G52">
        <v>0.55220000000000002</v>
      </c>
      <c r="H52" t="s">
        <v>3</v>
      </c>
      <c r="I52">
        <v>0.23219999999999999</v>
      </c>
      <c r="J52">
        <v>0.20749999999999999</v>
      </c>
      <c r="K52" t="s">
        <v>8</v>
      </c>
      <c r="L52">
        <v>0.74</v>
      </c>
      <c r="M52">
        <v>0.54769999999999996</v>
      </c>
      <c r="N52" t="s">
        <v>9</v>
      </c>
      <c r="O52">
        <v>0.109</v>
      </c>
      <c r="P52">
        <v>9.6199999999999994E-2</v>
      </c>
      <c r="Q52" t="s">
        <v>10</v>
      </c>
      <c r="R52">
        <v>0.88649999999999995</v>
      </c>
      <c r="S52">
        <v>0.6704</v>
      </c>
      <c r="T52" t="s">
        <v>11</v>
      </c>
      <c r="U52">
        <v>0.2324</v>
      </c>
      <c r="V52">
        <v>0.20730000000000001</v>
      </c>
      <c r="W52" t="s">
        <v>12</v>
      </c>
      <c r="X52">
        <v>0.74329999999999996</v>
      </c>
      <c r="Y52">
        <v>0.55149999999999999</v>
      </c>
      <c r="Z52" t="s">
        <v>13</v>
      </c>
      <c r="AA52">
        <v>0.2326</v>
      </c>
      <c r="AB52">
        <v>0.21659999999999999</v>
      </c>
    </row>
    <row r="53" spans="1:28" x14ac:dyDescent="0.25">
      <c r="B53">
        <v>69</v>
      </c>
      <c r="C53" t="s">
        <v>0</v>
      </c>
      <c r="D53">
        <v>0</v>
      </c>
      <c r="E53" t="s">
        <v>6</v>
      </c>
      <c r="F53">
        <v>0.74039999999999995</v>
      </c>
      <c r="G53">
        <v>0.54100000000000004</v>
      </c>
      <c r="H53" t="s">
        <v>3</v>
      </c>
      <c r="I53">
        <v>0.2346</v>
      </c>
      <c r="J53">
        <v>0.20699999999999999</v>
      </c>
      <c r="K53" t="s">
        <v>8</v>
      </c>
      <c r="L53">
        <v>0.7389</v>
      </c>
      <c r="M53">
        <v>0.55200000000000005</v>
      </c>
      <c r="N53" t="s">
        <v>9</v>
      </c>
      <c r="O53">
        <v>0.1086</v>
      </c>
      <c r="P53">
        <v>9.6600000000000005E-2</v>
      </c>
      <c r="Q53" t="s">
        <v>10</v>
      </c>
      <c r="R53">
        <v>0.88660000000000005</v>
      </c>
      <c r="S53">
        <v>0.67100000000000004</v>
      </c>
      <c r="T53" t="s">
        <v>11</v>
      </c>
      <c r="U53">
        <v>0.2301</v>
      </c>
      <c r="V53">
        <v>0.20530000000000001</v>
      </c>
      <c r="W53" t="s">
        <v>12</v>
      </c>
      <c r="X53">
        <v>0.74119999999999997</v>
      </c>
      <c r="Y53">
        <v>0.54769999999999996</v>
      </c>
      <c r="Z53" t="s">
        <v>13</v>
      </c>
      <c r="AA53">
        <v>0.23039999999999999</v>
      </c>
      <c r="AB53">
        <v>0.21709999999999999</v>
      </c>
    </row>
    <row r="54" spans="1:28" x14ac:dyDescent="0.25">
      <c r="B54">
        <v>89</v>
      </c>
      <c r="C54" t="s">
        <v>0</v>
      </c>
      <c r="D54">
        <v>0</v>
      </c>
      <c r="E54" t="s">
        <v>6</v>
      </c>
      <c r="F54">
        <v>0.73170000000000002</v>
      </c>
      <c r="G54">
        <v>0.53769999999999996</v>
      </c>
      <c r="H54" t="s">
        <v>3</v>
      </c>
      <c r="I54">
        <v>0.23469999999999999</v>
      </c>
      <c r="J54">
        <v>0.2034</v>
      </c>
      <c r="K54" t="s">
        <v>8</v>
      </c>
      <c r="L54">
        <v>0.7359</v>
      </c>
      <c r="M54">
        <v>0.54820000000000002</v>
      </c>
      <c r="N54" t="s">
        <v>9</v>
      </c>
      <c r="O54">
        <v>0.109</v>
      </c>
      <c r="P54">
        <v>9.5600000000000004E-2</v>
      </c>
      <c r="Q54" t="s">
        <v>10</v>
      </c>
      <c r="R54">
        <v>0.87419999999999998</v>
      </c>
      <c r="S54">
        <v>0.68049999999999999</v>
      </c>
      <c r="T54" t="s">
        <v>11</v>
      </c>
      <c r="U54">
        <v>0.2311</v>
      </c>
      <c r="V54">
        <v>0.20499999999999999</v>
      </c>
      <c r="W54" t="s">
        <v>12</v>
      </c>
      <c r="X54">
        <v>0.73180000000000001</v>
      </c>
      <c r="Y54">
        <v>0.56089999999999995</v>
      </c>
      <c r="Z54" t="s">
        <v>13</v>
      </c>
      <c r="AA54">
        <v>0.2291</v>
      </c>
      <c r="AB54">
        <v>0.2238</v>
      </c>
    </row>
    <row r="55" spans="1:28" x14ac:dyDescent="0.25">
      <c r="A55" t="s">
        <v>23</v>
      </c>
      <c r="F55">
        <v>0.74252000000000007</v>
      </c>
      <c r="G55">
        <v>0.55146000000000006</v>
      </c>
      <c r="I55">
        <v>0.23401999999999998</v>
      </c>
      <c r="J55">
        <v>0.20551999999999998</v>
      </c>
      <c r="L55">
        <v>0.73994000000000004</v>
      </c>
      <c r="M55">
        <v>0.55035999999999996</v>
      </c>
      <c r="O55">
        <v>0.10802</v>
      </c>
      <c r="P55">
        <v>9.5240000000000005E-2</v>
      </c>
      <c r="R55">
        <v>0.88311999999999991</v>
      </c>
      <c r="S55">
        <v>0.6728599999999999</v>
      </c>
      <c r="U55">
        <v>0.23237999999999998</v>
      </c>
      <c r="V55">
        <v>0.2056</v>
      </c>
      <c r="X55">
        <v>0.74</v>
      </c>
      <c r="Y55">
        <v>0.55293999999999988</v>
      </c>
      <c r="AA55">
        <v>0.23152000000000003</v>
      </c>
      <c r="AB55">
        <v>0.21823999999999999</v>
      </c>
    </row>
    <row r="56" spans="1:28" s="4" customFormat="1" x14ac:dyDescent="0.25">
      <c r="A56" s="4" t="s">
        <v>25</v>
      </c>
      <c r="F56" s="4">
        <v>6.9002608646340302E-3</v>
      </c>
      <c r="G56" s="4">
        <v>1.3551177070645945E-2</v>
      </c>
      <c r="I56" s="4">
        <v>9.987992791347048E-4</v>
      </c>
      <c r="J56" s="4">
        <v>2.1683173199511185E-3</v>
      </c>
      <c r="L56" s="4">
        <v>2.5741794809220333E-3</v>
      </c>
      <c r="M56" s="4">
        <v>2.1039011383618008E-3</v>
      </c>
      <c r="O56" s="4">
        <v>1.6666133324799717E-3</v>
      </c>
      <c r="P56" s="4">
        <v>2.1592591322025256E-3</v>
      </c>
      <c r="R56" s="4">
        <v>4.7343003706989397E-3</v>
      </c>
      <c r="S56" s="4">
        <v>3.8567343699041482E-3</v>
      </c>
      <c r="U56" s="4">
        <v>1.7267310155319505E-3</v>
      </c>
      <c r="V56" s="4">
        <v>1.0276186062932132E-3</v>
      </c>
      <c r="X56" s="4">
        <v>4.1602884515379371E-3</v>
      </c>
      <c r="Y56" s="4">
        <v>4.3518272024518556E-3</v>
      </c>
      <c r="AA56" s="4">
        <v>1.6702095676890377E-3</v>
      </c>
      <c r="AB56" s="4">
        <v>2.9736173257499036E-3</v>
      </c>
    </row>
    <row r="57" spans="1:28" x14ac:dyDescent="0.25">
      <c r="A57" t="s">
        <v>26</v>
      </c>
      <c r="F57">
        <v>40.636852928638795</v>
      </c>
      <c r="G57">
        <v>32.190739926521836</v>
      </c>
      <c r="I57">
        <v>47.395495095503726</v>
      </c>
      <c r="J57">
        <v>39.53462504810237</v>
      </c>
      <c r="L57">
        <v>49.17115362123613</v>
      </c>
      <c r="M57">
        <v>48.35243066756987</v>
      </c>
      <c r="O57">
        <v>36.233386423939521</v>
      </c>
      <c r="P57">
        <v>32.890292433757878</v>
      </c>
      <c r="R57">
        <v>45.415278235564209</v>
      </c>
      <c r="S57">
        <v>44.834099662106404</v>
      </c>
      <c r="U57">
        <v>42.579481149936697</v>
      </c>
      <c r="V57">
        <v>46.023823024486809</v>
      </c>
      <c r="X57">
        <v>45.002165529352673</v>
      </c>
      <c r="Y57">
        <v>42.080127312855595</v>
      </c>
      <c r="AA57">
        <v>42.836350931820036</v>
      </c>
      <c r="AB57">
        <v>37.312985489382747</v>
      </c>
    </row>
    <row r="58" spans="1:28" x14ac:dyDescent="0.25">
      <c r="A58" t="s">
        <v>24</v>
      </c>
      <c r="F58">
        <v>0.77049999999999996</v>
      </c>
      <c r="G58">
        <v>0.67379999999999995</v>
      </c>
      <c r="I58">
        <v>0.24660000000000001</v>
      </c>
      <c r="J58">
        <v>0.24560000000000001</v>
      </c>
      <c r="L58">
        <v>0.77049999999999996</v>
      </c>
      <c r="M58">
        <v>0.67379999999999995</v>
      </c>
      <c r="O58">
        <v>0.13200000000000001</v>
      </c>
      <c r="P58">
        <v>0.13150000000000001</v>
      </c>
      <c r="R58">
        <v>0.90820000000000001</v>
      </c>
      <c r="S58">
        <v>0.84430000000000005</v>
      </c>
      <c r="U58">
        <v>0.2467</v>
      </c>
      <c r="V58">
        <v>0.24560000000000001</v>
      </c>
      <c r="X58">
        <v>0.77049999999999996</v>
      </c>
      <c r="Y58">
        <v>0.67379999999999995</v>
      </c>
      <c r="AA58">
        <v>0.2467</v>
      </c>
      <c r="AB58">
        <v>0.24560000000000001</v>
      </c>
    </row>
    <row r="59" spans="1:28" s="5" customFormat="1" x14ac:dyDescent="0.25">
      <c r="A59" s="5" t="s">
        <v>30</v>
      </c>
      <c r="F59" s="5">
        <v>0.96231751333297433</v>
      </c>
      <c r="G59" s="5">
        <v>0.77815254052877836</v>
      </c>
      <c r="I59" s="5">
        <v>0.94624391077685654</v>
      </c>
      <c r="J59" s="5">
        <v>0.80498248345659773</v>
      </c>
      <c r="L59" s="5">
        <v>0.95869935400167594</v>
      </c>
      <c r="M59" s="5">
        <v>0.77571044407297041</v>
      </c>
      <c r="O59" s="5">
        <v>0.77800407331975563</v>
      </c>
      <c r="P59" s="5">
        <v>0.61927761444771101</v>
      </c>
      <c r="R59" s="5">
        <v>0.97160068846815828</v>
      </c>
      <c r="S59" s="5">
        <v>0.74520702672175465</v>
      </c>
      <c r="U59" s="5">
        <v>0.93837679662621554</v>
      </c>
      <c r="V59" s="5">
        <v>0.80544747081712065</v>
      </c>
      <c r="X59" s="5">
        <v>0.95878378378378382</v>
      </c>
      <c r="Y59" s="5">
        <v>0.78142293919774275</v>
      </c>
      <c r="AA59" s="5">
        <v>0.9344333102971667</v>
      </c>
      <c r="AB59" s="5">
        <v>0.87463343108504388</v>
      </c>
    </row>
    <row r="61" spans="1:28" x14ac:dyDescent="0.25">
      <c r="A61" t="s">
        <v>19</v>
      </c>
      <c r="F61" s="15"/>
      <c r="G61" s="15"/>
      <c r="I61" s="15"/>
      <c r="J61" s="15"/>
      <c r="L61" s="15"/>
      <c r="M61" s="15"/>
      <c r="O61" s="15"/>
      <c r="P61" s="15"/>
      <c r="R61" s="15"/>
      <c r="S61" s="15"/>
      <c r="U61" s="15"/>
      <c r="V61" s="15"/>
      <c r="X61" s="15"/>
      <c r="Y61" s="15"/>
      <c r="AA61" s="15"/>
      <c r="AB61" s="15"/>
    </row>
    <row r="62" spans="1:28" x14ac:dyDescent="0.25">
      <c r="B62">
        <v>11</v>
      </c>
      <c r="C62" t="s">
        <v>0</v>
      </c>
      <c r="D62">
        <v>0</v>
      </c>
      <c r="E62" t="s">
        <v>6</v>
      </c>
      <c r="F62">
        <v>0.2442</v>
      </c>
      <c r="G62">
        <v>0.22040000000000001</v>
      </c>
      <c r="H62" t="s">
        <v>3</v>
      </c>
      <c r="I62">
        <v>0.74909999999999999</v>
      </c>
      <c r="J62">
        <v>0.57679999999999998</v>
      </c>
      <c r="K62" t="s">
        <v>8</v>
      </c>
      <c r="L62">
        <v>0.24360000000000001</v>
      </c>
      <c r="M62">
        <v>0.21390000000000001</v>
      </c>
      <c r="N62" t="s">
        <v>9</v>
      </c>
      <c r="O62">
        <v>0.75890000000000002</v>
      </c>
      <c r="P62">
        <v>0.57010000000000005</v>
      </c>
      <c r="Q62" t="s">
        <v>10</v>
      </c>
      <c r="R62">
        <v>0.1076</v>
      </c>
      <c r="S62">
        <v>9.4299999999999995E-2</v>
      </c>
      <c r="T62" t="s">
        <v>11</v>
      </c>
      <c r="U62">
        <v>0.9839</v>
      </c>
      <c r="V62">
        <v>0.76570000000000005</v>
      </c>
      <c r="W62" t="s">
        <v>12</v>
      </c>
      <c r="X62">
        <v>0.24510000000000001</v>
      </c>
      <c r="Y62">
        <v>0.22020000000000001</v>
      </c>
      <c r="Z62" t="s">
        <v>13</v>
      </c>
      <c r="AA62">
        <v>0.75649999999999995</v>
      </c>
      <c r="AB62">
        <v>0.56689999999999996</v>
      </c>
    </row>
    <row r="63" spans="1:28" x14ac:dyDescent="0.25">
      <c r="B63">
        <v>31</v>
      </c>
      <c r="C63" t="s">
        <v>0</v>
      </c>
      <c r="D63">
        <v>0</v>
      </c>
      <c r="E63" t="s">
        <v>6</v>
      </c>
      <c r="F63">
        <v>0.25080000000000002</v>
      </c>
      <c r="G63">
        <v>0.2283</v>
      </c>
      <c r="H63" t="s">
        <v>3</v>
      </c>
      <c r="I63">
        <v>0.75560000000000005</v>
      </c>
      <c r="J63">
        <v>0.57479999999999998</v>
      </c>
      <c r="K63" t="s">
        <v>8</v>
      </c>
      <c r="L63">
        <v>0.2437</v>
      </c>
      <c r="M63">
        <v>0.22109999999999999</v>
      </c>
      <c r="N63" t="s">
        <v>9</v>
      </c>
      <c r="O63">
        <v>0.75639999999999996</v>
      </c>
      <c r="P63">
        <v>0.57709999999999995</v>
      </c>
      <c r="Q63" t="s">
        <v>10</v>
      </c>
      <c r="R63">
        <v>0.1046</v>
      </c>
      <c r="S63">
        <v>9.0700000000000003E-2</v>
      </c>
      <c r="T63" t="s">
        <v>11</v>
      </c>
      <c r="U63">
        <v>0.98640000000000005</v>
      </c>
      <c r="V63">
        <v>0.7732</v>
      </c>
      <c r="W63" t="s">
        <v>12</v>
      </c>
      <c r="X63">
        <v>0.24410000000000001</v>
      </c>
      <c r="Y63">
        <v>0.21940000000000001</v>
      </c>
      <c r="Z63" t="s">
        <v>13</v>
      </c>
      <c r="AA63">
        <v>0.75519999999999998</v>
      </c>
      <c r="AB63">
        <v>0.56679999999999997</v>
      </c>
    </row>
    <row r="64" spans="1:28" x14ac:dyDescent="0.25">
      <c r="B64">
        <v>51</v>
      </c>
      <c r="C64" t="s">
        <v>0</v>
      </c>
      <c r="D64">
        <v>0</v>
      </c>
      <c r="E64" t="s">
        <v>6</v>
      </c>
      <c r="F64">
        <v>0.245</v>
      </c>
      <c r="G64">
        <v>0.2238</v>
      </c>
      <c r="H64" t="s">
        <v>3</v>
      </c>
      <c r="I64">
        <v>0.7571</v>
      </c>
      <c r="J64">
        <v>0.57650000000000001</v>
      </c>
      <c r="K64" t="s">
        <v>8</v>
      </c>
      <c r="L64">
        <v>0.24529999999999999</v>
      </c>
      <c r="M64">
        <v>0.22009999999999999</v>
      </c>
      <c r="N64" t="s">
        <v>9</v>
      </c>
      <c r="O64">
        <v>0.75119999999999998</v>
      </c>
      <c r="P64">
        <v>0.57689999999999997</v>
      </c>
      <c r="Q64" t="s">
        <v>10</v>
      </c>
      <c r="R64">
        <v>0.1074</v>
      </c>
      <c r="S64">
        <v>9.5600000000000004E-2</v>
      </c>
      <c r="T64" t="s">
        <v>11</v>
      </c>
      <c r="U64">
        <v>0.99629999999999996</v>
      </c>
      <c r="V64">
        <v>0.77859999999999996</v>
      </c>
      <c r="W64" t="s">
        <v>12</v>
      </c>
      <c r="X64">
        <v>0.2447</v>
      </c>
      <c r="Y64">
        <v>0.22509999999999999</v>
      </c>
      <c r="Z64" t="s">
        <v>13</v>
      </c>
      <c r="AA64">
        <v>0.76180000000000003</v>
      </c>
      <c r="AB64">
        <v>0.57499999999999996</v>
      </c>
    </row>
    <row r="65" spans="1:28" x14ac:dyDescent="0.25">
      <c r="B65">
        <v>71</v>
      </c>
      <c r="C65" t="s">
        <v>0</v>
      </c>
      <c r="D65">
        <v>0</v>
      </c>
      <c r="E65" t="s">
        <v>6</v>
      </c>
      <c r="F65">
        <v>0.24110000000000001</v>
      </c>
      <c r="G65">
        <v>0.22500000000000001</v>
      </c>
      <c r="H65" t="s">
        <v>3</v>
      </c>
      <c r="I65">
        <v>0.75560000000000005</v>
      </c>
      <c r="J65">
        <v>0.58579999999999999</v>
      </c>
      <c r="K65" t="s">
        <v>8</v>
      </c>
      <c r="L65">
        <v>0.24429999999999999</v>
      </c>
      <c r="M65">
        <v>0.22409999999999999</v>
      </c>
      <c r="N65" t="s">
        <v>9</v>
      </c>
      <c r="O65">
        <v>0.7571</v>
      </c>
      <c r="P65">
        <v>0.5746</v>
      </c>
      <c r="Q65" t="s">
        <v>10</v>
      </c>
      <c r="R65">
        <v>0.10440000000000001</v>
      </c>
      <c r="S65">
        <v>9.5100000000000004E-2</v>
      </c>
      <c r="T65" t="s">
        <v>11</v>
      </c>
      <c r="U65">
        <v>0.98580000000000001</v>
      </c>
      <c r="V65">
        <v>0.76939999999999997</v>
      </c>
      <c r="W65" t="s">
        <v>12</v>
      </c>
      <c r="X65">
        <v>0.24340000000000001</v>
      </c>
      <c r="Y65">
        <v>0.22140000000000001</v>
      </c>
      <c r="Z65" t="s">
        <v>13</v>
      </c>
      <c r="AA65">
        <v>0.75409999999999999</v>
      </c>
      <c r="AB65">
        <v>0.57240000000000002</v>
      </c>
    </row>
    <row r="66" spans="1:28" x14ac:dyDescent="0.25">
      <c r="B66">
        <v>91</v>
      </c>
      <c r="C66" t="s">
        <v>0</v>
      </c>
      <c r="D66">
        <v>0</v>
      </c>
      <c r="E66" t="s">
        <v>6</v>
      </c>
      <c r="F66">
        <v>0.2457</v>
      </c>
      <c r="G66">
        <v>0.2215</v>
      </c>
      <c r="H66" t="s">
        <v>3</v>
      </c>
      <c r="I66">
        <v>0.77070000000000005</v>
      </c>
      <c r="J66">
        <v>0.58660000000000001</v>
      </c>
      <c r="K66" t="s">
        <v>8</v>
      </c>
      <c r="L66">
        <v>0.24590000000000001</v>
      </c>
      <c r="M66">
        <v>0.22220000000000001</v>
      </c>
      <c r="N66" t="s">
        <v>9</v>
      </c>
      <c r="O66">
        <v>0.75529999999999997</v>
      </c>
      <c r="P66">
        <v>0.5746</v>
      </c>
      <c r="Q66" t="s">
        <v>10</v>
      </c>
      <c r="R66">
        <v>0.1037</v>
      </c>
      <c r="S66">
        <v>9.6199999999999994E-2</v>
      </c>
      <c r="T66" t="s">
        <v>11</v>
      </c>
      <c r="U66">
        <v>0.98960000000000004</v>
      </c>
      <c r="V66">
        <v>0.77390000000000003</v>
      </c>
      <c r="W66" t="s">
        <v>12</v>
      </c>
      <c r="X66">
        <v>0.24929999999999999</v>
      </c>
      <c r="Y66">
        <v>0.22270000000000001</v>
      </c>
      <c r="Z66" t="s">
        <v>13</v>
      </c>
      <c r="AA66">
        <v>0.754</v>
      </c>
      <c r="AB66">
        <v>0.56810000000000005</v>
      </c>
    </row>
    <row r="67" spans="1:28" x14ac:dyDescent="0.25">
      <c r="A67" t="s">
        <v>23</v>
      </c>
      <c r="F67">
        <v>0.24535999999999997</v>
      </c>
      <c r="G67">
        <v>0.2238</v>
      </c>
      <c r="I67">
        <v>0.75762000000000007</v>
      </c>
      <c r="J67">
        <v>0.58010000000000006</v>
      </c>
      <c r="L67">
        <v>0.24455999999999997</v>
      </c>
      <c r="M67">
        <v>0.22027999999999998</v>
      </c>
      <c r="O67">
        <v>0.7557799999999999</v>
      </c>
      <c r="P67">
        <v>0.57466000000000006</v>
      </c>
      <c r="R67">
        <v>0.10553999999999999</v>
      </c>
      <c r="S67">
        <v>9.4380000000000006E-2</v>
      </c>
      <c r="U67">
        <v>0.98840000000000006</v>
      </c>
      <c r="V67">
        <v>0.77216000000000007</v>
      </c>
      <c r="X67">
        <v>0.24532000000000004</v>
      </c>
      <c r="Y67">
        <v>0.22176000000000001</v>
      </c>
      <c r="AA67">
        <v>0.75631999999999988</v>
      </c>
      <c r="AB67">
        <v>0.5698399999999999</v>
      </c>
    </row>
    <row r="68" spans="1:28" s="4" customFormat="1" x14ac:dyDescent="0.25">
      <c r="A68" s="4" t="s">
        <v>25</v>
      </c>
      <c r="F68" s="4">
        <v>3.1410826159144613E-3</v>
      </c>
      <c r="G68" s="4">
        <v>2.7763285108214387E-3</v>
      </c>
      <c r="I68" s="4">
        <v>7.1008168544189499E-3</v>
      </c>
      <c r="J68" s="4">
        <v>5.0334878563477285E-3</v>
      </c>
      <c r="L68" s="4">
        <v>9.0244113381427707E-4</v>
      </c>
      <c r="M68" s="4">
        <v>3.4550832117331092E-3</v>
      </c>
      <c r="O68" s="4">
        <v>2.5716920499935557E-3</v>
      </c>
      <c r="P68" s="4">
        <v>2.5207935258564568E-3</v>
      </c>
      <c r="R68" s="4">
        <v>1.6292329483533026E-3</v>
      </c>
      <c r="S68" s="4">
        <v>1.9425756098540915E-3</v>
      </c>
      <c r="U68" s="4">
        <v>4.3556859390915517E-3</v>
      </c>
      <c r="V68" s="4">
        <v>4.3573386372876529E-3</v>
      </c>
      <c r="X68" s="4">
        <v>2.0711349545599338E-3</v>
      </c>
      <c r="Y68" s="4">
        <v>2.0085815890822007E-3</v>
      </c>
      <c r="AA68" s="4">
        <v>2.8854115824263403E-3</v>
      </c>
      <c r="AB68" s="4">
        <v>3.2891336245278904E-3</v>
      </c>
    </row>
    <row r="69" spans="1:28" x14ac:dyDescent="0.25">
      <c r="A69" t="s">
        <v>26</v>
      </c>
      <c r="F69">
        <v>37.854488074569005</v>
      </c>
      <c r="G69">
        <v>38.127784584012481</v>
      </c>
      <c r="I69">
        <v>40.562862389233949</v>
      </c>
      <c r="J69">
        <v>41.232676805713375</v>
      </c>
      <c r="L69">
        <v>48.659330864433826</v>
      </c>
      <c r="M69">
        <v>36.090331129729677</v>
      </c>
      <c r="O69">
        <v>49.363528656135529</v>
      </c>
      <c r="P69">
        <v>47.157473875001969</v>
      </c>
      <c r="R69">
        <v>36.228678110019253</v>
      </c>
      <c r="S69">
        <v>33.73004082776216</v>
      </c>
      <c r="U69">
        <v>47.117523574802533</v>
      </c>
      <c r="V69">
        <v>44.969719742326852</v>
      </c>
      <c r="X69">
        <v>41.470491153921081</v>
      </c>
      <c r="Y69">
        <v>40.85987470712351</v>
      </c>
      <c r="AA69">
        <v>48.369956283640072</v>
      </c>
      <c r="AB69">
        <v>44.773428276467371</v>
      </c>
    </row>
    <row r="70" spans="1:28" x14ac:dyDescent="0.25">
      <c r="A70" t="s">
        <v>24</v>
      </c>
      <c r="F70">
        <v>0.26979999999999998</v>
      </c>
      <c r="G70">
        <v>0.26879999999999998</v>
      </c>
      <c r="I70">
        <v>0.79349999999999998</v>
      </c>
      <c r="J70">
        <v>0.69550000000000001</v>
      </c>
      <c r="L70">
        <v>0.26979999999999998</v>
      </c>
      <c r="M70">
        <v>0.26879999999999998</v>
      </c>
      <c r="O70">
        <v>0.79349999999999998</v>
      </c>
      <c r="P70">
        <v>0.69550000000000001</v>
      </c>
      <c r="R70">
        <v>0.13200000000000001</v>
      </c>
      <c r="S70">
        <v>0.13150000000000001</v>
      </c>
      <c r="U70">
        <v>1.0395000000000001</v>
      </c>
      <c r="V70">
        <v>0.93049999999999999</v>
      </c>
      <c r="X70">
        <v>0.26979999999999998</v>
      </c>
      <c r="Y70">
        <v>0.26879999999999998</v>
      </c>
      <c r="AA70">
        <v>0.79349999999999998</v>
      </c>
      <c r="AB70">
        <v>0.69550000000000001</v>
      </c>
    </row>
    <row r="71" spans="1:28" s="5" customFormat="1" x14ac:dyDescent="0.25">
      <c r="A71" s="5" t="s">
        <v>30</v>
      </c>
      <c r="F71" s="5">
        <v>0.90039126181936735</v>
      </c>
      <c r="G71" s="5">
        <v>0.79892761394101885</v>
      </c>
      <c r="I71" s="5">
        <v>0.95264116575591995</v>
      </c>
      <c r="J71" s="5">
        <v>0.80106878124461312</v>
      </c>
      <c r="L71" s="5">
        <v>0.89679424272162245</v>
      </c>
      <c r="M71" s="5">
        <v>0.77973488287633919</v>
      </c>
      <c r="O71" s="5">
        <v>0.9500912964090078</v>
      </c>
      <c r="P71" s="5">
        <v>0.78971913827306595</v>
      </c>
      <c r="R71" s="5">
        <v>0.74928936895963605</v>
      </c>
      <c r="S71" s="5">
        <v>0.6066963339690612</v>
      </c>
      <c r="U71" s="5">
        <v>0.94830028328611893</v>
      </c>
      <c r="V71" s="5">
        <v>0.79493887277248254</v>
      </c>
      <c r="X71" s="5">
        <v>0.90021196804174164</v>
      </c>
      <c r="Y71" s="5">
        <v>0.78787878787878807</v>
      </c>
      <c r="AA71" s="5">
        <v>0.95084091389887859</v>
      </c>
      <c r="AB71" s="5">
        <v>0.7794819598483782</v>
      </c>
    </row>
    <row r="73" spans="1:28" x14ac:dyDescent="0.25">
      <c r="A73" t="s">
        <v>20</v>
      </c>
      <c r="F73" s="15"/>
      <c r="G73" s="15"/>
      <c r="I73" s="15"/>
      <c r="J73" s="15"/>
      <c r="L73" s="15"/>
      <c r="M73" s="15"/>
      <c r="O73" s="15"/>
      <c r="P73" s="15"/>
      <c r="R73" s="15"/>
      <c r="S73" s="15"/>
      <c r="U73" s="15"/>
      <c r="V73" s="15"/>
      <c r="X73" s="15"/>
      <c r="Y73" s="15"/>
      <c r="AA73" s="15"/>
      <c r="AB73" s="15"/>
    </row>
    <row r="74" spans="1:28" x14ac:dyDescent="0.25">
      <c r="B74">
        <v>13</v>
      </c>
      <c r="C74" t="s">
        <v>0</v>
      </c>
      <c r="D74">
        <v>0</v>
      </c>
      <c r="E74" t="s">
        <v>6</v>
      </c>
      <c r="F74">
        <v>0.85670000000000002</v>
      </c>
      <c r="G74">
        <v>0.64359999999999995</v>
      </c>
      <c r="H74" t="s">
        <v>3</v>
      </c>
      <c r="I74">
        <v>0.34499999999999997</v>
      </c>
      <c r="J74">
        <v>0.30430000000000001</v>
      </c>
      <c r="K74" t="s">
        <v>8</v>
      </c>
      <c r="L74">
        <v>0.85489999999999999</v>
      </c>
      <c r="M74">
        <v>0.64139999999999997</v>
      </c>
      <c r="N74" t="s">
        <v>9</v>
      </c>
      <c r="O74">
        <v>0.34620000000000001</v>
      </c>
      <c r="P74">
        <v>0.30359999999999998</v>
      </c>
      <c r="Q74" t="s">
        <v>10</v>
      </c>
      <c r="R74">
        <v>0.85640000000000005</v>
      </c>
      <c r="S74">
        <v>0.64329999999999998</v>
      </c>
      <c r="T74" t="s">
        <v>11</v>
      </c>
      <c r="U74">
        <v>0.1042</v>
      </c>
      <c r="V74">
        <v>9.01E-2</v>
      </c>
      <c r="W74" t="s">
        <v>12</v>
      </c>
      <c r="X74">
        <v>0.91559999999999997</v>
      </c>
      <c r="Y74">
        <v>0.69369999999999998</v>
      </c>
      <c r="Z74" t="s">
        <v>13</v>
      </c>
      <c r="AA74">
        <v>0.3458</v>
      </c>
      <c r="AB74">
        <v>0.31219999999999998</v>
      </c>
    </row>
    <row r="75" spans="1:28" x14ac:dyDescent="0.25">
      <c r="B75">
        <v>33</v>
      </c>
      <c r="C75" t="s">
        <v>0</v>
      </c>
      <c r="D75">
        <v>0</v>
      </c>
      <c r="E75" t="s">
        <v>6</v>
      </c>
      <c r="F75">
        <v>0.85570000000000002</v>
      </c>
      <c r="G75">
        <v>0.63580000000000003</v>
      </c>
      <c r="H75" t="s">
        <v>3</v>
      </c>
      <c r="I75">
        <v>0.34489999999999998</v>
      </c>
      <c r="J75">
        <v>0.30130000000000001</v>
      </c>
      <c r="K75" t="s">
        <v>8</v>
      </c>
      <c r="L75">
        <v>0.85119999999999996</v>
      </c>
      <c r="M75">
        <v>0.63939999999999997</v>
      </c>
      <c r="N75" t="s">
        <v>9</v>
      </c>
      <c r="O75">
        <v>0.34889999999999999</v>
      </c>
      <c r="P75">
        <v>0.31180000000000002</v>
      </c>
      <c r="Q75" t="s">
        <v>10</v>
      </c>
      <c r="R75">
        <v>0.85599999999999998</v>
      </c>
      <c r="S75">
        <v>0.64370000000000005</v>
      </c>
      <c r="T75" t="s">
        <v>11</v>
      </c>
      <c r="U75">
        <v>0.10390000000000001</v>
      </c>
      <c r="V75">
        <v>9.1899999999999996E-2</v>
      </c>
      <c r="W75" t="s">
        <v>12</v>
      </c>
      <c r="X75">
        <v>0.91410000000000002</v>
      </c>
      <c r="Y75">
        <v>0.69220000000000004</v>
      </c>
      <c r="Z75" t="s">
        <v>13</v>
      </c>
      <c r="AA75">
        <v>0.3463</v>
      </c>
      <c r="AB75">
        <v>0.31159999999999999</v>
      </c>
    </row>
    <row r="76" spans="1:28" x14ac:dyDescent="0.25">
      <c r="B76">
        <v>53</v>
      </c>
      <c r="C76" t="s">
        <v>0</v>
      </c>
      <c r="D76">
        <v>0</v>
      </c>
      <c r="E76" t="s">
        <v>6</v>
      </c>
      <c r="F76">
        <v>0.85299999999999998</v>
      </c>
      <c r="G76">
        <v>0.64319999999999999</v>
      </c>
      <c r="H76" t="s">
        <v>3</v>
      </c>
      <c r="I76">
        <v>0.34210000000000002</v>
      </c>
      <c r="J76">
        <v>0.30220000000000002</v>
      </c>
      <c r="K76" t="s">
        <v>8</v>
      </c>
      <c r="L76">
        <v>0.85189999999999999</v>
      </c>
      <c r="M76">
        <v>0.64790000000000003</v>
      </c>
      <c r="N76" t="s">
        <v>9</v>
      </c>
      <c r="O76">
        <v>0.34370000000000001</v>
      </c>
      <c r="P76">
        <v>0.29799999999999999</v>
      </c>
      <c r="Q76" t="s">
        <v>10</v>
      </c>
      <c r="R76">
        <v>0.85799999999999998</v>
      </c>
      <c r="S76">
        <v>0.64870000000000005</v>
      </c>
      <c r="T76" t="s">
        <v>11</v>
      </c>
      <c r="U76">
        <v>0.1051</v>
      </c>
      <c r="V76">
        <v>9.1499999999999998E-2</v>
      </c>
      <c r="W76" t="s">
        <v>12</v>
      </c>
      <c r="X76">
        <v>0.91779999999999995</v>
      </c>
      <c r="Y76">
        <v>0.68889999999999996</v>
      </c>
      <c r="Z76" t="s">
        <v>13</v>
      </c>
      <c r="AA76">
        <v>0.34660000000000002</v>
      </c>
      <c r="AB76">
        <v>0.3155</v>
      </c>
    </row>
    <row r="77" spans="1:28" x14ac:dyDescent="0.25">
      <c r="B77">
        <v>73</v>
      </c>
      <c r="C77" t="s">
        <v>0</v>
      </c>
      <c r="D77">
        <v>0</v>
      </c>
      <c r="E77" t="s">
        <v>6</v>
      </c>
      <c r="F77">
        <v>0.85880000000000001</v>
      </c>
      <c r="G77">
        <v>0.64480000000000004</v>
      </c>
      <c r="H77" t="s">
        <v>3</v>
      </c>
      <c r="I77">
        <v>0.34789999999999999</v>
      </c>
      <c r="J77">
        <v>0.308</v>
      </c>
      <c r="K77" t="s">
        <v>8</v>
      </c>
      <c r="L77">
        <v>0.84809999999999997</v>
      </c>
      <c r="M77">
        <v>0.65359999999999996</v>
      </c>
      <c r="N77" t="s">
        <v>9</v>
      </c>
      <c r="O77">
        <v>0.34620000000000001</v>
      </c>
      <c r="P77">
        <v>0.28789999999999999</v>
      </c>
      <c r="Q77" t="s">
        <v>10</v>
      </c>
      <c r="R77">
        <v>0.85440000000000005</v>
      </c>
      <c r="S77">
        <v>0.64929999999999999</v>
      </c>
      <c r="T77" t="s">
        <v>11</v>
      </c>
      <c r="U77">
        <v>0.1057</v>
      </c>
      <c r="V77">
        <v>9.3899999999999997E-2</v>
      </c>
      <c r="W77" t="s">
        <v>12</v>
      </c>
      <c r="X77">
        <v>0.91320000000000001</v>
      </c>
      <c r="Y77">
        <v>0.68840000000000001</v>
      </c>
      <c r="Z77" t="s">
        <v>13</v>
      </c>
      <c r="AA77">
        <v>0.34499999999999997</v>
      </c>
      <c r="AB77">
        <v>0.313</v>
      </c>
    </row>
    <row r="78" spans="1:28" x14ac:dyDescent="0.25">
      <c r="B78">
        <v>93</v>
      </c>
      <c r="C78" t="s">
        <v>0</v>
      </c>
      <c r="D78">
        <v>0</v>
      </c>
      <c r="E78" t="s">
        <v>6</v>
      </c>
      <c r="F78">
        <v>0.85980000000000001</v>
      </c>
      <c r="G78">
        <v>0.63</v>
      </c>
      <c r="H78" t="s">
        <v>3</v>
      </c>
      <c r="I78">
        <v>0.34449999999999997</v>
      </c>
      <c r="J78">
        <v>0.29899999999999999</v>
      </c>
      <c r="K78" t="s">
        <v>8</v>
      </c>
      <c r="L78">
        <v>0.85070000000000001</v>
      </c>
      <c r="M78">
        <v>0.63719999999999999</v>
      </c>
      <c r="N78" t="s">
        <v>9</v>
      </c>
      <c r="O78">
        <v>0.34860000000000002</v>
      </c>
      <c r="P78">
        <v>0.30609999999999998</v>
      </c>
      <c r="Q78" t="s">
        <v>10</v>
      </c>
      <c r="R78">
        <v>0.85560000000000003</v>
      </c>
      <c r="S78">
        <v>0.64149999999999996</v>
      </c>
      <c r="T78" t="s">
        <v>11</v>
      </c>
      <c r="U78">
        <v>0.1046</v>
      </c>
      <c r="V78">
        <v>9.1700000000000004E-2</v>
      </c>
      <c r="W78" t="s">
        <v>12</v>
      </c>
      <c r="X78">
        <v>0.91720000000000002</v>
      </c>
      <c r="Y78">
        <v>0.6925</v>
      </c>
      <c r="Z78" t="s">
        <v>13</v>
      </c>
      <c r="AA78">
        <v>0.35160000000000002</v>
      </c>
      <c r="AB78">
        <v>0.31730000000000003</v>
      </c>
    </row>
    <row r="79" spans="1:28" x14ac:dyDescent="0.25">
      <c r="A79" t="s">
        <v>23</v>
      </c>
      <c r="F79">
        <v>0.85680000000000012</v>
      </c>
      <c r="G79">
        <v>0.63948000000000005</v>
      </c>
      <c r="I79">
        <v>0.34488000000000002</v>
      </c>
      <c r="J79">
        <v>0.30296000000000001</v>
      </c>
      <c r="L79">
        <v>0.85136000000000001</v>
      </c>
      <c r="M79">
        <v>0.64390000000000003</v>
      </c>
      <c r="O79">
        <v>0.34672000000000003</v>
      </c>
      <c r="P79">
        <v>0.30148000000000003</v>
      </c>
      <c r="R79">
        <v>0.85608000000000006</v>
      </c>
      <c r="S79">
        <v>0.64529999999999998</v>
      </c>
      <c r="U79">
        <v>0.10470000000000002</v>
      </c>
      <c r="V79">
        <v>9.1819999999999985E-2</v>
      </c>
      <c r="X79">
        <v>0.91557999999999995</v>
      </c>
      <c r="Y79">
        <v>0.69113999999999998</v>
      </c>
      <c r="AA79">
        <v>0.34706000000000004</v>
      </c>
      <c r="AB79">
        <v>0.31391999999999998</v>
      </c>
    </row>
    <row r="80" spans="1:28" s="4" customFormat="1" x14ac:dyDescent="0.25">
      <c r="A80" s="4" t="s">
        <v>25</v>
      </c>
      <c r="F80" s="4">
        <v>2.3941595602632749E-3</v>
      </c>
      <c r="G80" s="4">
        <v>5.7013682568309793E-3</v>
      </c>
      <c r="I80" s="4">
        <v>1.8443427013437525E-3</v>
      </c>
      <c r="J80" s="4">
        <v>3.0401315760999561E-3</v>
      </c>
      <c r="L80" s="4">
        <v>2.1868699092538711E-3</v>
      </c>
      <c r="M80" s="4">
        <v>6.0246161703464574E-3</v>
      </c>
      <c r="O80" s="4">
        <v>1.8946239732464054E-3</v>
      </c>
      <c r="P80" s="4">
        <v>8.110092477894449E-3</v>
      </c>
      <c r="R80" s="4">
        <v>1.1702991070662054E-3</v>
      </c>
      <c r="S80" s="4">
        <v>3.1164081889252086E-3</v>
      </c>
      <c r="U80" s="4">
        <v>6.418722614352474E-4</v>
      </c>
      <c r="V80" s="4">
        <v>1.2172099243762343E-3</v>
      </c>
      <c r="X80" s="4">
        <v>1.7554486605993183E-3</v>
      </c>
      <c r="Y80" s="4">
        <v>2.1000952359357481E-3</v>
      </c>
      <c r="AA80" s="4">
        <v>2.3337523433303851E-3</v>
      </c>
      <c r="AB80" s="4">
        <v>2.1497906874856595E-3</v>
      </c>
    </row>
    <row r="81" spans="1:28" x14ac:dyDescent="0.25">
      <c r="A81" t="s">
        <v>26</v>
      </c>
      <c r="F81">
        <v>51.074527339222882</v>
      </c>
      <c r="G81">
        <v>40.996957457645891</v>
      </c>
      <c r="I81">
        <v>45.436527768484645</v>
      </c>
      <c r="J81">
        <v>39.969858238912025</v>
      </c>
      <c r="L81">
        <v>51.805805854660854</v>
      </c>
      <c r="M81">
        <v>40.577780839262878</v>
      </c>
      <c r="O81">
        <v>45.24911731426468</v>
      </c>
      <c r="P81">
        <v>31.404654003603557</v>
      </c>
      <c r="R81">
        <v>57.284349547668555</v>
      </c>
      <c r="S81">
        <v>46.322146564830632</v>
      </c>
      <c r="U81">
        <v>44.24996147324552</v>
      </c>
      <c r="V81">
        <v>37.551436075221453</v>
      </c>
      <c r="X81">
        <v>54.346163292436174</v>
      </c>
      <c r="Y81">
        <v>50.346540778502188</v>
      </c>
      <c r="AA81">
        <v>43.446995908236389</v>
      </c>
      <c r="AB81">
        <v>43.288456168663465</v>
      </c>
    </row>
    <row r="82" spans="1:28" x14ac:dyDescent="0.25">
      <c r="A82" t="s">
        <v>24</v>
      </c>
      <c r="F82">
        <v>0.90180000000000005</v>
      </c>
      <c r="G82">
        <v>0.79820000000000002</v>
      </c>
      <c r="I82">
        <v>0.37809999999999999</v>
      </c>
      <c r="J82">
        <v>0.37659999999999999</v>
      </c>
      <c r="L82">
        <v>0.90180000000000005</v>
      </c>
      <c r="M82">
        <v>0.79820000000000002</v>
      </c>
      <c r="O82">
        <v>0.37809999999999999</v>
      </c>
      <c r="P82">
        <v>0.37659999999999999</v>
      </c>
      <c r="R82">
        <v>0.90180000000000005</v>
      </c>
      <c r="S82">
        <v>0.79820000000000002</v>
      </c>
      <c r="U82">
        <v>0.13200000000000001</v>
      </c>
      <c r="V82">
        <v>0.13150000000000001</v>
      </c>
      <c r="X82">
        <v>0.95299999999999996</v>
      </c>
      <c r="Y82">
        <v>0.84719999999999995</v>
      </c>
      <c r="AA82">
        <v>0.37809999999999999</v>
      </c>
      <c r="AB82">
        <v>0.37659999999999999</v>
      </c>
    </row>
    <row r="83" spans="1:28" s="5" customFormat="1" x14ac:dyDescent="0.25">
      <c r="A83" s="5" t="s">
        <v>30</v>
      </c>
      <c r="F83" s="5">
        <v>0.94747899159663873</v>
      </c>
      <c r="G83" s="5">
        <v>0.75179833614812042</v>
      </c>
      <c r="I83" s="5">
        <v>0.90367664115054525</v>
      </c>
      <c r="J83" s="5">
        <v>0.75693160813308691</v>
      </c>
      <c r="L83" s="5">
        <v>0.94075361774102606</v>
      </c>
      <c r="M83" s="5">
        <v>0.76036651653983545</v>
      </c>
      <c r="O83" s="5">
        <v>0.90949469312413489</v>
      </c>
      <c r="P83" s="5">
        <v>0.75082924240413973</v>
      </c>
      <c r="R83" s="5">
        <v>0.94659377628259045</v>
      </c>
      <c r="S83" s="5">
        <v>0.76305594297226087</v>
      </c>
      <c r="U83" s="5">
        <v>0.73925501432664764</v>
      </c>
      <c r="V83" s="5">
        <v>0.56785014158135461</v>
      </c>
      <c r="X83" s="5">
        <v>0.95912973197317541</v>
      </c>
      <c r="Y83" s="5">
        <v>0.77419914923170419</v>
      </c>
      <c r="AA83" s="5">
        <v>0.91056301504062709</v>
      </c>
      <c r="AB83" s="5">
        <v>0.80033129459734953</v>
      </c>
    </row>
    <row r="85" spans="1:28" x14ac:dyDescent="0.25">
      <c r="A85" t="s">
        <v>21</v>
      </c>
      <c r="F85" s="15"/>
      <c r="G85" s="15"/>
      <c r="I85" s="15"/>
      <c r="J85" s="15"/>
      <c r="L85" s="15"/>
      <c r="M85" s="15"/>
      <c r="O85" s="15"/>
      <c r="P85" s="15"/>
      <c r="R85" s="15"/>
      <c r="S85" s="15"/>
      <c r="U85" s="15"/>
      <c r="V85" s="15"/>
      <c r="X85" s="15"/>
      <c r="Y85" s="15"/>
      <c r="AA85" s="15"/>
      <c r="AB85" s="15"/>
    </row>
    <row r="86" spans="1:28" x14ac:dyDescent="0.25">
      <c r="B86">
        <v>15</v>
      </c>
      <c r="C86" t="s">
        <v>0</v>
      </c>
      <c r="D86">
        <v>0</v>
      </c>
      <c r="E86" t="s">
        <v>6</v>
      </c>
      <c r="F86">
        <v>0.17130000000000001</v>
      </c>
      <c r="G86">
        <v>0.1623</v>
      </c>
      <c r="H86" t="s">
        <v>3</v>
      </c>
      <c r="I86">
        <v>0.68200000000000005</v>
      </c>
      <c r="J86">
        <v>0.50439999999999996</v>
      </c>
      <c r="K86" t="s">
        <v>8</v>
      </c>
      <c r="L86">
        <v>0.16789999999999999</v>
      </c>
      <c r="M86">
        <v>0.14979999999999999</v>
      </c>
      <c r="N86" t="s">
        <v>9</v>
      </c>
      <c r="O86">
        <v>0.68230000000000002</v>
      </c>
      <c r="P86">
        <v>0.50639999999999996</v>
      </c>
      <c r="Q86" t="s">
        <v>10</v>
      </c>
      <c r="R86">
        <v>0.16969999999999999</v>
      </c>
      <c r="S86">
        <v>0.15260000000000001</v>
      </c>
      <c r="T86" t="s">
        <v>11</v>
      </c>
      <c r="U86">
        <v>0.67969999999999997</v>
      </c>
      <c r="V86">
        <v>0.50160000000000005</v>
      </c>
      <c r="W86" t="s">
        <v>12</v>
      </c>
      <c r="X86">
        <v>0.1055</v>
      </c>
      <c r="Y86">
        <v>9.3200000000000005E-2</v>
      </c>
      <c r="Z86" t="s">
        <v>13</v>
      </c>
      <c r="AA86">
        <v>1.018</v>
      </c>
      <c r="AB86">
        <v>0.79020000000000001</v>
      </c>
    </row>
    <row r="87" spans="1:28" x14ac:dyDescent="0.25">
      <c r="B87">
        <v>35</v>
      </c>
      <c r="C87" t="s">
        <v>0</v>
      </c>
      <c r="D87">
        <v>0</v>
      </c>
      <c r="E87" t="s">
        <v>6</v>
      </c>
      <c r="F87">
        <v>0.16869999999999999</v>
      </c>
      <c r="G87">
        <v>0.16220000000000001</v>
      </c>
      <c r="H87" t="s">
        <v>3</v>
      </c>
      <c r="I87">
        <v>0.68179999999999996</v>
      </c>
      <c r="J87">
        <v>0.49809999999999999</v>
      </c>
      <c r="K87" t="s">
        <v>8</v>
      </c>
      <c r="L87">
        <v>0.17130000000000001</v>
      </c>
      <c r="M87">
        <v>0.15260000000000001</v>
      </c>
      <c r="N87" t="s">
        <v>9</v>
      </c>
      <c r="O87">
        <v>0.68</v>
      </c>
      <c r="P87">
        <v>0.502</v>
      </c>
      <c r="Q87" t="s">
        <v>10</v>
      </c>
      <c r="R87">
        <v>0.17019999999999999</v>
      </c>
      <c r="S87">
        <v>0.15359999999999999</v>
      </c>
      <c r="T87" t="s">
        <v>11</v>
      </c>
      <c r="U87">
        <v>0.6794</v>
      </c>
      <c r="V87">
        <v>0.50570000000000004</v>
      </c>
      <c r="W87" t="s">
        <v>12</v>
      </c>
      <c r="X87">
        <v>0.10580000000000001</v>
      </c>
      <c r="Y87">
        <v>9.4200000000000006E-2</v>
      </c>
      <c r="Z87" t="s">
        <v>13</v>
      </c>
      <c r="AA87">
        <v>1.0189999999999999</v>
      </c>
      <c r="AB87">
        <v>0.78559999999999997</v>
      </c>
    </row>
    <row r="88" spans="1:28" x14ac:dyDescent="0.25">
      <c r="B88">
        <v>55</v>
      </c>
      <c r="C88" t="s">
        <v>0</v>
      </c>
      <c r="D88">
        <v>0</v>
      </c>
      <c r="E88" t="s">
        <v>6</v>
      </c>
      <c r="F88">
        <v>0.16689999999999999</v>
      </c>
      <c r="G88">
        <v>0.15540000000000001</v>
      </c>
      <c r="H88" t="s">
        <v>3</v>
      </c>
      <c r="I88">
        <v>0.6784</v>
      </c>
      <c r="J88">
        <v>0.50380000000000003</v>
      </c>
      <c r="K88" t="s">
        <v>8</v>
      </c>
      <c r="L88">
        <v>0.16819999999999999</v>
      </c>
      <c r="M88">
        <v>0.1532</v>
      </c>
      <c r="N88" t="s">
        <v>9</v>
      </c>
      <c r="O88">
        <v>0.68230000000000002</v>
      </c>
      <c r="P88">
        <v>0.50600000000000001</v>
      </c>
      <c r="Q88" t="s">
        <v>10</v>
      </c>
      <c r="R88">
        <v>0.1694</v>
      </c>
      <c r="S88">
        <v>0.15010000000000001</v>
      </c>
      <c r="T88" t="s">
        <v>11</v>
      </c>
      <c r="U88">
        <v>0.67920000000000003</v>
      </c>
      <c r="V88">
        <v>0.50409999999999999</v>
      </c>
      <c r="W88" t="s">
        <v>12</v>
      </c>
      <c r="X88">
        <v>0.1043</v>
      </c>
      <c r="Y88">
        <v>9.3899999999999997E-2</v>
      </c>
      <c r="Z88" t="s">
        <v>13</v>
      </c>
      <c r="AA88">
        <v>1.0197000000000001</v>
      </c>
      <c r="AB88">
        <v>0.79490000000000005</v>
      </c>
    </row>
    <row r="89" spans="1:28" x14ac:dyDescent="0.25">
      <c r="B89">
        <v>75</v>
      </c>
      <c r="C89" t="s">
        <v>0</v>
      </c>
      <c r="D89">
        <v>0</v>
      </c>
      <c r="E89" t="s">
        <v>6</v>
      </c>
      <c r="F89">
        <v>0.1653</v>
      </c>
      <c r="G89">
        <v>0.16259999999999999</v>
      </c>
      <c r="H89" t="s">
        <v>3</v>
      </c>
      <c r="I89">
        <v>0.68020000000000003</v>
      </c>
      <c r="J89">
        <v>0.50380000000000003</v>
      </c>
      <c r="K89" t="s">
        <v>8</v>
      </c>
      <c r="L89">
        <v>0.1681</v>
      </c>
      <c r="M89">
        <v>0.15279999999999999</v>
      </c>
      <c r="N89" t="s">
        <v>9</v>
      </c>
      <c r="O89">
        <v>0.68110000000000004</v>
      </c>
      <c r="P89">
        <v>0.50649999999999995</v>
      </c>
      <c r="Q89" t="s">
        <v>10</v>
      </c>
      <c r="R89">
        <v>0.1691</v>
      </c>
      <c r="S89">
        <v>0.14149999999999999</v>
      </c>
      <c r="T89" t="s">
        <v>11</v>
      </c>
      <c r="U89">
        <v>0.68100000000000005</v>
      </c>
      <c r="V89">
        <v>0.50519999999999998</v>
      </c>
      <c r="W89" t="s">
        <v>12</v>
      </c>
      <c r="X89">
        <v>0.1053</v>
      </c>
      <c r="Y89">
        <v>9.5600000000000004E-2</v>
      </c>
      <c r="Z89" t="s">
        <v>13</v>
      </c>
      <c r="AA89">
        <v>1.0154000000000001</v>
      </c>
      <c r="AB89">
        <v>0.78310000000000002</v>
      </c>
    </row>
    <row r="90" spans="1:28" x14ac:dyDescent="0.25">
      <c r="B90">
        <v>95</v>
      </c>
      <c r="C90" t="s">
        <v>0</v>
      </c>
      <c r="D90">
        <v>0</v>
      </c>
      <c r="E90" t="s">
        <v>6</v>
      </c>
      <c r="F90">
        <v>0.1714</v>
      </c>
      <c r="G90">
        <v>0.16200000000000001</v>
      </c>
      <c r="H90" t="s">
        <v>3</v>
      </c>
      <c r="I90">
        <v>0.68230000000000002</v>
      </c>
      <c r="J90">
        <v>0.51170000000000004</v>
      </c>
      <c r="K90" t="s">
        <v>8</v>
      </c>
      <c r="L90">
        <v>0.1673</v>
      </c>
      <c r="M90">
        <v>0.15490000000000001</v>
      </c>
      <c r="N90" t="s">
        <v>9</v>
      </c>
      <c r="O90">
        <v>0.67969999999999997</v>
      </c>
      <c r="P90">
        <v>0.5071</v>
      </c>
      <c r="Q90" t="s">
        <v>10</v>
      </c>
      <c r="R90">
        <v>0.17</v>
      </c>
      <c r="S90">
        <v>0.15290000000000001</v>
      </c>
      <c r="T90" t="s">
        <v>11</v>
      </c>
      <c r="U90">
        <v>0.67789999999999995</v>
      </c>
      <c r="V90">
        <v>0.50680000000000003</v>
      </c>
      <c r="W90" t="s">
        <v>12</v>
      </c>
      <c r="X90">
        <v>0.1032</v>
      </c>
      <c r="Y90">
        <v>9.5899999999999999E-2</v>
      </c>
      <c r="Z90" t="s">
        <v>13</v>
      </c>
      <c r="AA90">
        <v>1.0149999999999999</v>
      </c>
      <c r="AB90">
        <v>0.78310000000000002</v>
      </c>
    </row>
    <row r="91" spans="1:28" x14ac:dyDescent="0.25">
      <c r="A91" t="s">
        <v>23</v>
      </c>
      <c r="F91">
        <v>0.16871999999999998</v>
      </c>
      <c r="G91">
        <v>0.16089999999999999</v>
      </c>
      <c r="I91">
        <v>0.68093999999999999</v>
      </c>
      <c r="J91">
        <v>0.50435999999999992</v>
      </c>
      <c r="L91">
        <v>0.16855999999999999</v>
      </c>
      <c r="M91">
        <v>0.15266000000000002</v>
      </c>
      <c r="O91">
        <v>0.68107999999999991</v>
      </c>
      <c r="P91">
        <v>0.50560000000000005</v>
      </c>
      <c r="R91">
        <v>0.16968</v>
      </c>
      <c r="S91">
        <v>0.15014</v>
      </c>
      <c r="U91">
        <v>0.67943999999999993</v>
      </c>
      <c r="V91">
        <v>0.50468000000000002</v>
      </c>
      <c r="X91">
        <v>0.10482</v>
      </c>
      <c r="Y91">
        <v>9.4560000000000005E-2</v>
      </c>
      <c r="AA91">
        <v>1.01742</v>
      </c>
      <c r="AB91">
        <v>0.78738000000000008</v>
      </c>
    </row>
    <row r="92" spans="1:28" s="4" customFormat="1" x14ac:dyDescent="0.25">
      <c r="A92" s="4" t="s">
        <v>25</v>
      </c>
      <c r="F92" s="4">
        <v>2.40199916736039E-3</v>
      </c>
      <c r="G92" s="4">
        <v>2.7568097504180409E-3</v>
      </c>
      <c r="I92" s="4">
        <v>1.4636939570825615E-3</v>
      </c>
      <c r="J92" s="4">
        <v>4.3287873590649086E-3</v>
      </c>
      <c r="L92" s="4">
        <v>1.4051334456200272E-3</v>
      </c>
      <c r="M92" s="4">
        <v>1.643897807042768E-3</v>
      </c>
      <c r="O92" s="4">
        <v>1.0998181667894074E-3</v>
      </c>
      <c r="P92" s="4">
        <v>1.8341210428976505E-3</v>
      </c>
      <c r="R92" s="4">
        <v>3.9698866482558404E-4</v>
      </c>
      <c r="S92" s="4">
        <v>4.4786605140376568E-3</v>
      </c>
      <c r="U92" s="4">
        <v>9.9317672143484016E-4</v>
      </c>
      <c r="V92" s="4">
        <v>1.7679366504487601E-3</v>
      </c>
      <c r="X92" s="4">
        <v>9.5372952140530972E-4</v>
      </c>
      <c r="Y92" s="4">
        <v>1.0287856919689341E-3</v>
      </c>
      <c r="AA92" s="4">
        <v>1.8956792977716512E-3</v>
      </c>
      <c r="AB92" s="4">
        <v>4.5674500544614751E-3</v>
      </c>
    </row>
    <row r="93" spans="1:28" x14ac:dyDescent="0.25">
      <c r="A93" t="s">
        <v>26</v>
      </c>
      <c r="F93">
        <v>36.931874284205513</v>
      </c>
      <c r="G93">
        <v>35.322984959172686</v>
      </c>
      <c r="I93">
        <v>53.353171331241647</v>
      </c>
      <c r="J93">
        <v>41.327487667089173</v>
      </c>
      <c r="L93">
        <v>41.580739028469374</v>
      </c>
      <c r="M93">
        <v>39.357008838642201</v>
      </c>
      <c r="O93">
        <v>55.837544765582265</v>
      </c>
      <c r="P93">
        <v>48.807581434227878</v>
      </c>
      <c r="R93">
        <v>52.617050978634751</v>
      </c>
      <c r="S93">
        <v>30.506965353974813</v>
      </c>
      <c r="U93">
        <v>56.702491585657171</v>
      </c>
      <c r="V93">
        <v>49.110987905581851</v>
      </c>
      <c r="X93">
        <v>40.820378590534702</v>
      </c>
      <c r="Y93">
        <v>39.267650958949162</v>
      </c>
      <c r="AA93">
        <v>54.594708065213275</v>
      </c>
      <c r="AB93">
        <v>44.730211444334529</v>
      </c>
    </row>
    <row r="94" spans="1:28" x14ac:dyDescent="0.25">
      <c r="A94" t="s">
        <v>24</v>
      </c>
      <c r="F94">
        <v>0.1832</v>
      </c>
      <c r="G94">
        <v>0.1825</v>
      </c>
      <c r="I94">
        <v>0.70699999999999996</v>
      </c>
      <c r="J94">
        <v>0.61470000000000002</v>
      </c>
      <c r="L94">
        <v>0.1832</v>
      </c>
      <c r="M94">
        <v>0.1825</v>
      </c>
      <c r="O94">
        <v>0.70699999999999996</v>
      </c>
      <c r="P94">
        <v>0.61470000000000002</v>
      </c>
      <c r="R94">
        <v>0.1832</v>
      </c>
      <c r="S94">
        <v>0.1825</v>
      </c>
      <c r="U94">
        <v>0.70699999999999996</v>
      </c>
      <c r="V94">
        <v>0.61470000000000002</v>
      </c>
      <c r="X94">
        <v>0.13200000000000001</v>
      </c>
      <c r="Y94">
        <v>0.13150000000000001</v>
      </c>
      <c r="AA94">
        <v>1.0658000000000001</v>
      </c>
      <c r="AB94">
        <v>0.95599999999999996</v>
      </c>
    </row>
    <row r="95" spans="1:28" s="5" customFormat="1" x14ac:dyDescent="0.25">
      <c r="A95" s="5" t="s">
        <v>30</v>
      </c>
      <c r="F95" s="5">
        <v>0.91417733522996669</v>
      </c>
      <c r="G95" s="5">
        <v>0.86575512740832816</v>
      </c>
      <c r="I95" s="5">
        <v>0.96172937410050818</v>
      </c>
      <c r="J95" s="5">
        <v>0.78122769450392548</v>
      </c>
      <c r="L95" s="5">
        <v>0.91314665401044126</v>
      </c>
      <c r="M95" s="5">
        <v>0.80453294903707606</v>
      </c>
      <c r="O95" s="5">
        <v>0.96194279673459793</v>
      </c>
      <c r="P95" s="5">
        <v>0.78421677215189878</v>
      </c>
      <c r="R95" s="5">
        <v>0.92032060348892031</v>
      </c>
      <c r="S95" s="5">
        <v>0.78446783002530973</v>
      </c>
      <c r="U95" s="5">
        <v>0.95943718356293417</v>
      </c>
      <c r="V95" s="5">
        <v>0.78200047554886265</v>
      </c>
      <c r="X95" s="5">
        <v>0.74069834001144808</v>
      </c>
      <c r="Y95" s="5">
        <v>0.60934856175972929</v>
      </c>
      <c r="AA95" s="5">
        <v>0.95244834974740022</v>
      </c>
      <c r="AB95" s="5">
        <v>0.78584673220046253</v>
      </c>
    </row>
    <row r="97" spans="1:28" x14ac:dyDescent="0.25">
      <c r="A97" t="s">
        <v>22</v>
      </c>
      <c r="F97" s="15"/>
      <c r="G97" s="15"/>
      <c r="I97" s="15"/>
      <c r="J97" s="15"/>
      <c r="L97" s="15"/>
      <c r="M97" s="15"/>
      <c r="O97" s="15"/>
      <c r="P97" s="15"/>
      <c r="R97" s="15"/>
      <c r="S97" s="15"/>
      <c r="U97" s="15"/>
      <c r="V97" s="15"/>
      <c r="X97" s="15"/>
      <c r="Y97" s="15"/>
      <c r="AA97" s="15"/>
      <c r="AB97" s="15"/>
    </row>
    <row r="98" spans="1:28" x14ac:dyDescent="0.25">
      <c r="B98">
        <v>17</v>
      </c>
      <c r="C98" t="s">
        <v>0</v>
      </c>
      <c r="D98">
        <v>0</v>
      </c>
      <c r="E98" t="s">
        <v>6</v>
      </c>
      <c r="F98">
        <v>1.0813999999999999</v>
      </c>
      <c r="G98">
        <v>0.79559999999999997</v>
      </c>
      <c r="H98" t="s">
        <v>3</v>
      </c>
      <c r="I98">
        <v>0.45040000000000002</v>
      </c>
      <c r="J98">
        <v>0.37459999999999999</v>
      </c>
      <c r="K98" t="s">
        <v>8</v>
      </c>
      <c r="L98">
        <v>0.94189999999999996</v>
      </c>
      <c r="M98">
        <v>0.69820000000000004</v>
      </c>
      <c r="N98" t="s">
        <v>9</v>
      </c>
      <c r="O98">
        <v>0.45179999999999998</v>
      </c>
      <c r="P98">
        <v>0.39300000000000002</v>
      </c>
      <c r="Q98" t="s">
        <v>10</v>
      </c>
      <c r="R98">
        <v>0.9466</v>
      </c>
      <c r="S98">
        <v>0.71779999999999999</v>
      </c>
      <c r="T98" t="s">
        <v>11</v>
      </c>
      <c r="U98">
        <v>0.44869999999999999</v>
      </c>
      <c r="V98">
        <v>0.38740000000000002</v>
      </c>
      <c r="W98" t="s">
        <v>12</v>
      </c>
      <c r="X98">
        <v>0.95109999999999995</v>
      </c>
      <c r="Y98">
        <v>0.7056</v>
      </c>
      <c r="Z98" t="s">
        <v>13</v>
      </c>
      <c r="AA98">
        <v>0.105</v>
      </c>
      <c r="AB98">
        <v>9.1999999999999998E-2</v>
      </c>
    </row>
    <row r="99" spans="1:28" x14ac:dyDescent="0.25">
      <c r="B99">
        <v>37</v>
      </c>
      <c r="C99" t="s">
        <v>0</v>
      </c>
      <c r="D99">
        <v>0</v>
      </c>
      <c r="E99" t="s">
        <v>6</v>
      </c>
      <c r="F99">
        <v>1.1012999999999999</v>
      </c>
      <c r="G99">
        <v>0.79830000000000001</v>
      </c>
      <c r="H99" t="s">
        <v>3</v>
      </c>
      <c r="I99">
        <v>0.45610000000000001</v>
      </c>
      <c r="J99">
        <v>0.36969999999999997</v>
      </c>
      <c r="K99" t="s">
        <v>8</v>
      </c>
      <c r="L99">
        <v>0.95650000000000002</v>
      </c>
      <c r="M99">
        <v>0.69059999999999999</v>
      </c>
      <c r="N99" t="s">
        <v>9</v>
      </c>
      <c r="O99">
        <v>0.45400000000000001</v>
      </c>
      <c r="P99">
        <v>0.37469999999999998</v>
      </c>
      <c r="Q99" t="s">
        <v>10</v>
      </c>
      <c r="R99">
        <v>0.96540000000000004</v>
      </c>
      <c r="S99">
        <v>0.6905</v>
      </c>
      <c r="T99" t="s">
        <v>11</v>
      </c>
      <c r="U99">
        <v>0.45229999999999998</v>
      </c>
      <c r="V99">
        <v>0.36820000000000003</v>
      </c>
      <c r="W99" t="s">
        <v>12</v>
      </c>
      <c r="X99">
        <v>0.95789999999999997</v>
      </c>
      <c r="Y99">
        <v>0.6845</v>
      </c>
      <c r="Z99" t="s">
        <v>13</v>
      </c>
      <c r="AA99">
        <v>0.1048</v>
      </c>
      <c r="AB99">
        <v>8.4000000000000005E-2</v>
      </c>
    </row>
    <row r="100" spans="1:28" x14ac:dyDescent="0.25">
      <c r="B100">
        <v>57</v>
      </c>
      <c r="C100" t="s">
        <v>0</v>
      </c>
      <c r="D100">
        <v>0</v>
      </c>
      <c r="E100" t="s">
        <v>6</v>
      </c>
      <c r="F100">
        <v>1.1032</v>
      </c>
      <c r="G100">
        <v>0.79459999999999997</v>
      </c>
      <c r="H100" t="s">
        <v>3</v>
      </c>
      <c r="I100">
        <v>0.45300000000000001</v>
      </c>
      <c r="J100">
        <v>0.37</v>
      </c>
      <c r="K100" t="s">
        <v>8</v>
      </c>
      <c r="L100">
        <v>0.95950000000000002</v>
      </c>
      <c r="M100">
        <v>0.68989999999999996</v>
      </c>
      <c r="N100" t="s">
        <v>9</v>
      </c>
      <c r="O100">
        <v>0.45129999999999998</v>
      </c>
      <c r="P100">
        <v>0.36620000000000003</v>
      </c>
      <c r="Q100" t="s">
        <v>10</v>
      </c>
      <c r="R100">
        <v>0.96079999999999999</v>
      </c>
      <c r="S100">
        <v>0.68089999999999995</v>
      </c>
      <c r="T100" t="s">
        <v>11</v>
      </c>
      <c r="U100">
        <v>0.45469999999999999</v>
      </c>
      <c r="V100">
        <v>0.37409999999999999</v>
      </c>
      <c r="W100" t="s">
        <v>12</v>
      </c>
      <c r="X100">
        <v>0.95509999999999995</v>
      </c>
      <c r="Y100">
        <v>0.67220000000000002</v>
      </c>
      <c r="Z100" t="s">
        <v>13</v>
      </c>
      <c r="AA100">
        <v>0.1032</v>
      </c>
      <c r="AB100">
        <v>8.6099999999999996E-2</v>
      </c>
    </row>
    <row r="101" spans="1:28" x14ac:dyDescent="0.25">
      <c r="B101">
        <v>77</v>
      </c>
      <c r="C101" t="s">
        <v>0</v>
      </c>
      <c r="D101">
        <v>0</v>
      </c>
      <c r="E101" t="s">
        <v>6</v>
      </c>
      <c r="F101">
        <v>1.1034999999999999</v>
      </c>
      <c r="G101">
        <v>0.79959999999999998</v>
      </c>
      <c r="H101" t="s">
        <v>3</v>
      </c>
      <c r="I101">
        <v>0.45100000000000001</v>
      </c>
      <c r="J101">
        <v>0.37409999999999999</v>
      </c>
      <c r="K101" t="s">
        <v>8</v>
      </c>
      <c r="L101">
        <v>0.96250000000000002</v>
      </c>
      <c r="M101">
        <v>0.69779999999999998</v>
      </c>
      <c r="N101" t="s">
        <v>9</v>
      </c>
      <c r="O101">
        <v>0.45529999999999998</v>
      </c>
      <c r="P101">
        <v>0.37190000000000001</v>
      </c>
      <c r="Q101" t="s">
        <v>10</v>
      </c>
      <c r="R101">
        <v>0.95930000000000004</v>
      </c>
      <c r="S101">
        <v>0.68989999999999996</v>
      </c>
      <c r="T101" t="s">
        <v>11</v>
      </c>
      <c r="U101">
        <v>0.4572</v>
      </c>
      <c r="V101">
        <v>0.37369999999999998</v>
      </c>
      <c r="W101" t="s">
        <v>12</v>
      </c>
      <c r="X101">
        <v>0.96050000000000002</v>
      </c>
      <c r="Y101">
        <v>0.70379999999999998</v>
      </c>
      <c r="Z101" t="s">
        <v>13</v>
      </c>
      <c r="AA101">
        <v>0.10539999999999999</v>
      </c>
      <c r="AB101">
        <v>8.9399999999999993E-2</v>
      </c>
    </row>
    <row r="102" spans="1:28" x14ac:dyDescent="0.25">
      <c r="B102">
        <v>97</v>
      </c>
      <c r="C102" t="s">
        <v>0</v>
      </c>
      <c r="D102">
        <v>0</v>
      </c>
      <c r="E102" t="s">
        <v>6</v>
      </c>
      <c r="F102">
        <v>1.1071</v>
      </c>
      <c r="G102">
        <v>0.79749999999999999</v>
      </c>
      <c r="H102" t="s">
        <v>3</v>
      </c>
      <c r="I102">
        <v>0.45669999999999999</v>
      </c>
      <c r="J102">
        <v>0.3775</v>
      </c>
      <c r="K102" t="s">
        <v>8</v>
      </c>
      <c r="L102">
        <v>0.96189999999999998</v>
      </c>
      <c r="M102">
        <v>0.69940000000000002</v>
      </c>
      <c r="N102" t="s">
        <v>9</v>
      </c>
      <c r="O102">
        <v>0.45429999999999998</v>
      </c>
      <c r="P102">
        <v>0.37380000000000002</v>
      </c>
      <c r="Q102" t="s">
        <v>10</v>
      </c>
      <c r="R102">
        <v>0.96530000000000005</v>
      </c>
      <c r="S102">
        <v>0.7006</v>
      </c>
      <c r="T102" t="s">
        <v>11</v>
      </c>
      <c r="U102">
        <v>0.4546</v>
      </c>
      <c r="V102">
        <v>0.3735</v>
      </c>
      <c r="W102" t="s">
        <v>12</v>
      </c>
      <c r="X102">
        <v>0.95950000000000002</v>
      </c>
      <c r="Y102">
        <v>0.69820000000000004</v>
      </c>
      <c r="Z102" t="s">
        <v>13</v>
      </c>
      <c r="AA102">
        <v>0.1052</v>
      </c>
      <c r="AB102">
        <v>9.0700000000000003E-2</v>
      </c>
    </row>
    <row r="103" spans="1:28" x14ac:dyDescent="0.25">
      <c r="A103" t="s">
        <v>23</v>
      </c>
      <c r="F103">
        <v>1.0992999999999999</v>
      </c>
      <c r="G103">
        <v>0.79711999999999994</v>
      </c>
      <c r="I103">
        <v>0.45344000000000007</v>
      </c>
      <c r="J103">
        <v>0.37317999999999996</v>
      </c>
      <c r="L103">
        <v>0.95645999999999987</v>
      </c>
      <c r="M103">
        <v>0.69518000000000002</v>
      </c>
      <c r="O103">
        <v>0.45334000000000002</v>
      </c>
      <c r="P103">
        <v>0.37592000000000009</v>
      </c>
      <c r="R103">
        <v>0.95947999999999989</v>
      </c>
      <c r="S103">
        <v>0.69594</v>
      </c>
      <c r="U103">
        <v>0.45350000000000001</v>
      </c>
      <c r="V103">
        <v>0.37537999999999999</v>
      </c>
      <c r="X103">
        <v>0.95681999999999989</v>
      </c>
      <c r="Y103">
        <v>0.69285999999999992</v>
      </c>
      <c r="AA103">
        <v>0.10471999999999999</v>
      </c>
      <c r="AB103">
        <v>8.8439999999999991E-2</v>
      </c>
    </row>
    <row r="104" spans="1:28" s="4" customFormat="1" x14ac:dyDescent="0.25">
      <c r="A104" s="4" t="s">
        <v>25</v>
      </c>
      <c r="F104" s="4">
        <v>9.1443971917234794E-3</v>
      </c>
      <c r="G104" s="4">
        <v>1.8082035283673193E-3</v>
      </c>
      <c r="I104" s="4">
        <v>2.5726251184344674E-3</v>
      </c>
      <c r="J104" s="4">
        <v>2.9579722784367061E-3</v>
      </c>
      <c r="L104" s="4">
        <v>7.5803957680321849E-3</v>
      </c>
      <c r="M104" s="4">
        <v>4.0656610778568554E-3</v>
      </c>
      <c r="O104" s="4">
        <v>1.5317963311093329E-3</v>
      </c>
      <c r="P104" s="4">
        <v>9.0371234361382932E-3</v>
      </c>
      <c r="R104" s="4">
        <v>6.8787789614146054E-3</v>
      </c>
      <c r="S104" s="4">
        <v>1.2584530185906835E-2</v>
      </c>
      <c r="U104" s="4">
        <v>2.8572714256787056E-3</v>
      </c>
      <c r="V104" s="4">
        <v>6.3879261110316591E-3</v>
      </c>
      <c r="X104" s="4">
        <v>3.3931696096717884E-3</v>
      </c>
      <c r="Y104" s="4">
        <v>1.2706155988338875E-2</v>
      </c>
      <c r="AA104" s="4">
        <v>7.8587530817553891E-4</v>
      </c>
      <c r="AB104" s="4">
        <v>2.9628364787817759E-3</v>
      </c>
    </row>
    <row r="105" spans="1:28" x14ac:dyDescent="0.25">
      <c r="A105" t="s">
        <v>26</v>
      </c>
      <c r="F105">
        <v>41.599222927245727</v>
      </c>
      <c r="G105">
        <v>52.885527870092844</v>
      </c>
      <c r="I105">
        <v>44.922866458154175</v>
      </c>
      <c r="J105">
        <v>42.018485216191493</v>
      </c>
      <c r="L105">
        <v>42.019498633602915</v>
      </c>
      <c r="M105">
        <v>44.65932194145816</v>
      </c>
      <c r="O105">
        <v>49.424460306018062</v>
      </c>
      <c r="P105">
        <v>32.381304355163245</v>
      </c>
      <c r="R105">
        <v>42.890491442938782</v>
      </c>
      <c r="S105">
        <v>34.854695840042524</v>
      </c>
      <c r="U105">
        <v>44.012515867481945</v>
      </c>
      <c r="V105">
        <v>35.382224919076158</v>
      </c>
      <c r="X105">
        <v>49.004493518932939</v>
      </c>
      <c r="Y105">
        <v>34.73262613599384</v>
      </c>
      <c r="AA105">
        <v>42.4935197975772</v>
      </c>
      <c r="AB105">
        <v>29.498821016216855</v>
      </c>
    </row>
    <row r="106" spans="1:28" x14ac:dyDescent="0.25">
      <c r="A106" t="s">
        <v>24</v>
      </c>
      <c r="F106">
        <v>1.1880999999999999</v>
      </c>
      <c r="G106">
        <v>1.0748</v>
      </c>
      <c r="I106">
        <v>0.49099999999999999</v>
      </c>
      <c r="J106">
        <v>0.48909999999999998</v>
      </c>
      <c r="L106">
        <v>1.0144</v>
      </c>
      <c r="M106">
        <v>0.90639999999999998</v>
      </c>
      <c r="O106">
        <v>0.49099999999999999</v>
      </c>
      <c r="P106">
        <v>0.48909999999999998</v>
      </c>
      <c r="R106">
        <v>1.0144</v>
      </c>
      <c r="S106">
        <v>0.90639999999999998</v>
      </c>
      <c r="U106">
        <v>0.49099999999999999</v>
      </c>
      <c r="V106">
        <v>0.48909999999999998</v>
      </c>
      <c r="X106">
        <v>1.0144</v>
      </c>
      <c r="Y106">
        <v>0.90639999999999998</v>
      </c>
      <c r="AA106">
        <v>0.13200000000000001</v>
      </c>
      <c r="AB106">
        <v>0.13150000000000001</v>
      </c>
    </row>
    <row r="107" spans="1:28" s="5" customFormat="1" x14ac:dyDescent="0.25">
      <c r="A107" s="5" t="s">
        <v>30</v>
      </c>
      <c r="F107" s="5">
        <v>0.91922132265987444</v>
      </c>
      <c r="G107" s="5">
        <v>0.65164592533119214</v>
      </c>
      <c r="I107" s="5">
        <v>0.91716654904728312</v>
      </c>
      <c r="J107" s="5">
        <v>0.68937242081569206</v>
      </c>
      <c r="L107" s="5">
        <v>0.93942245363109789</v>
      </c>
      <c r="M107" s="5">
        <v>0.69616502200868846</v>
      </c>
      <c r="O107" s="5">
        <v>0.91692769223982007</v>
      </c>
      <c r="P107" s="5">
        <v>0.69892530325601232</v>
      </c>
      <c r="R107" s="5">
        <v>0.94276066202526354</v>
      </c>
      <c r="S107" s="5">
        <v>0.69758887260396008</v>
      </c>
      <c r="U107" s="5">
        <v>0.91730981256890853</v>
      </c>
      <c r="V107" s="5">
        <v>0.69705365229900362</v>
      </c>
      <c r="X107" s="5">
        <v>0.93982149202566823</v>
      </c>
      <c r="Y107" s="5">
        <v>0.69179920907542636</v>
      </c>
      <c r="AA107" s="5">
        <v>0.73949579831932755</v>
      </c>
      <c r="AB107" s="5">
        <v>0.51311623699683384</v>
      </c>
    </row>
    <row r="111" spans="1:28" x14ac:dyDescent="0.25">
      <c r="E111" t="s">
        <v>37</v>
      </c>
      <c r="F111" t="s">
        <v>38</v>
      </c>
      <c r="G111" t="s">
        <v>39</v>
      </c>
      <c r="H111" t="s">
        <v>40</v>
      </c>
      <c r="I111" t="s">
        <v>41</v>
      </c>
      <c r="J111" t="s">
        <v>42</v>
      </c>
      <c r="K111" t="s">
        <v>43</v>
      </c>
      <c r="L111" t="s">
        <v>44</v>
      </c>
    </row>
    <row r="112" spans="1:28" x14ac:dyDescent="0.25">
      <c r="C112" s="12" t="s">
        <v>31</v>
      </c>
      <c r="D112" t="s">
        <v>32</v>
      </c>
      <c r="E112" s="5">
        <v>0.78</v>
      </c>
      <c r="F112" s="5">
        <v>0.77</v>
      </c>
      <c r="G112" s="5">
        <v>0.8</v>
      </c>
      <c r="H112" s="5">
        <v>0.78</v>
      </c>
      <c r="I112" s="5">
        <v>0.75</v>
      </c>
      <c r="J112" s="5">
        <v>0.74</v>
      </c>
      <c r="K112" s="5">
        <v>0.74</v>
      </c>
      <c r="L112" s="5">
        <v>0.74</v>
      </c>
    </row>
    <row r="113" spans="3:13" x14ac:dyDescent="0.25">
      <c r="C113" s="12"/>
      <c r="D113" t="s">
        <v>33</v>
      </c>
      <c r="E113" s="5">
        <v>0.66</v>
      </c>
      <c r="F113" s="5">
        <v>0.61</v>
      </c>
      <c r="G113" s="5">
        <v>0.69</v>
      </c>
      <c r="H113" s="5">
        <v>0.62</v>
      </c>
      <c r="I113" s="5">
        <v>0.61</v>
      </c>
      <c r="J113" s="5">
        <v>0.56999999999999995</v>
      </c>
      <c r="K113" s="5">
        <v>0.61</v>
      </c>
      <c r="L113" s="5">
        <v>0.51</v>
      </c>
    </row>
    <row r="114" spans="3:13" x14ac:dyDescent="0.25">
      <c r="C114" s="12" t="s">
        <v>34</v>
      </c>
      <c r="D114" t="s">
        <v>32</v>
      </c>
      <c r="E114" s="5">
        <v>0.94</v>
      </c>
      <c r="F114" s="5">
        <v>0.95</v>
      </c>
      <c r="G114" s="5">
        <v>0.97</v>
      </c>
      <c r="H114" s="5">
        <v>0.97</v>
      </c>
      <c r="I114" s="5">
        <v>0.95</v>
      </c>
      <c r="J114" s="5">
        <v>0.96</v>
      </c>
      <c r="K114" s="5">
        <v>0.95</v>
      </c>
      <c r="L114" s="5">
        <v>0.92</v>
      </c>
      <c r="M114" s="5"/>
    </row>
    <row r="115" spans="3:13" x14ac:dyDescent="0.25">
      <c r="C115" s="12"/>
      <c r="D115" t="s">
        <v>33</v>
      </c>
      <c r="E115" s="5">
        <v>0.77</v>
      </c>
      <c r="F115" s="5">
        <v>0.76</v>
      </c>
      <c r="G115" s="5">
        <v>0.83</v>
      </c>
      <c r="H115" s="5">
        <v>0.75</v>
      </c>
      <c r="I115" s="5">
        <v>0.79</v>
      </c>
      <c r="J115" s="5">
        <v>0.77</v>
      </c>
      <c r="K115" s="5">
        <v>0.79</v>
      </c>
      <c r="L115" s="5">
        <v>0.65</v>
      </c>
    </row>
    <row r="116" spans="3:13" x14ac:dyDescent="0.25">
      <c r="C116" s="12" t="s">
        <v>35</v>
      </c>
      <c r="D116" t="s">
        <v>32</v>
      </c>
      <c r="E116" s="5">
        <v>0.92</v>
      </c>
      <c r="F116" s="5">
        <v>0.95</v>
      </c>
      <c r="G116" s="5">
        <v>0.89</v>
      </c>
      <c r="H116" s="5">
        <v>0.96</v>
      </c>
      <c r="I116" s="5">
        <v>0.9</v>
      </c>
      <c r="J116" s="5">
        <v>0.95</v>
      </c>
      <c r="K116" s="5">
        <v>0.91</v>
      </c>
      <c r="L116" s="16">
        <v>0.94</v>
      </c>
    </row>
    <row r="117" spans="3:13" x14ac:dyDescent="0.25">
      <c r="C117" s="12"/>
      <c r="D117" t="s">
        <v>33</v>
      </c>
      <c r="E117" s="5">
        <v>0.77</v>
      </c>
      <c r="F117" s="5">
        <v>0.75</v>
      </c>
      <c r="G117" s="5">
        <v>0.8</v>
      </c>
      <c r="H117" s="5">
        <v>0.78</v>
      </c>
      <c r="I117" s="5">
        <v>0.79</v>
      </c>
      <c r="J117" s="5">
        <v>0.76</v>
      </c>
      <c r="K117" s="5">
        <v>0.8</v>
      </c>
      <c r="L117" s="16">
        <v>0.7</v>
      </c>
    </row>
    <row r="118" spans="3:13" x14ac:dyDescent="0.25">
      <c r="C118" s="12" t="s">
        <v>36</v>
      </c>
      <c r="D118" t="s">
        <v>32</v>
      </c>
      <c r="E118" s="5">
        <v>0.95</v>
      </c>
      <c r="F118" s="5">
        <v>0.92</v>
      </c>
      <c r="G118" s="5">
        <v>0.95</v>
      </c>
      <c r="H118" s="5">
        <v>0.94</v>
      </c>
      <c r="I118" s="5">
        <v>0.95</v>
      </c>
      <c r="J118" s="5">
        <v>0.91</v>
      </c>
      <c r="K118" s="5">
        <v>0.96</v>
      </c>
      <c r="L118" s="5">
        <v>0.92</v>
      </c>
    </row>
    <row r="119" spans="3:13" x14ac:dyDescent="0.25">
      <c r="C119" s="12"/>
      <c r="D119" t="s">
        <v>33</v>
      </c>
      <c r="E119" s="5">
        <v>0.78</v>
      </c>
      <c r="F119" s="5">
        <v>0.77</v>
      </c>
      <c r="G119" s="5">
        <v>0.8</v>
      </c>
      <c r="H119" s="5">
        <v>0.8</v>
      </c>
      <c r="I119" s="5">
        <v>0.79</v>
      </c>
      <c r="J119" s="5">
        <v>0.76</v>
      </c>
      <c r="K119" s="5">
        <v>0.78</v>
      </c>
      <c r="L119" s="5">
        <v>0.7</v>
      </c>
    </row>
    <row r="123" spans="3:13" x14ac:dyDescent="0.25">
      <c r="F123" s="12" t="s">
        <v>45</v>
      </c>
      <c r="G123" s="12"/>
      <c r="H123" s="12"/>
      <c r="I123" s="12"/>
      <c r="J123" s="12"/>
      <c r="K123" s="12"/>
      <c r="L123" s="12"/>
      <c r="M123" s="12"/>
    </row>
    <row r="124" spans="3:13" x14ac:dyDescent="0.25">
      <c r="F124" t="s">
        <v>3</v>
      </c>
      <c r="G124" t="s">
        <v>8</v>
      </c>
      <c r="H124" t="s">
        <v>9</v>
      </c>
      <c r="I124" t="s">
        <v>10</v>
      </c>
      <c r="J124" t="s">
        <v>11</v>
      </c>
      <c r="K124" t="s">
        <v>12</v>
      </c>
      <c r="L124" t="s">
        <v>13</v>
      </c>
      <c r="M124" t="s">
        <v>6</v>
      </c>
    </row>
    <row r="125" spans="3:13" x14ac:dyDescent="0.25">
      <c r="C125" s="13" t="s">
        <v>46</v>
      </c>
      <c r="D125" s="14" t="s">
        <v>6</v>
      </c>
      <c r="E125" t="s">
        <v>47</v>
      </c>
      <c r="F125" s="4">
        <v>9.134549797335371E-4</v>
      </c>
      <c r="G125" s="4">
        <v>2.2186482371029416E-3</v>
      </c>
      <c r="H125" s="4">
        <v>2.8867975336001658E-3</v>
      </c>
      <c r="I125" s="4">
        <v>6.9002608646340302E-3</v>
      </c>
      <c r="J125" s="4">
        <v>3.1410826159144613E-3</v>
      </c>
      <c r="K125" s="4">
        <v>2.3941595602632749E-3</v>
      </c>
      <c r="L125" s="4">
        <v>2.40199916736039E-3</v>
      </c>
      <c r="M125" s="4">
        <v>9.1443971917234794E-3</v>
      </c>
    </row>
    <row r="126" spans="3:13" x14ac:dyDescent="0.25">
      <c r="C126" s="13"/>
      <c r="D126" s="14"/>
      <c r="E126" t="s">
        <v>48</v>
      </c>
      <c r="F126" s="4">
        <v>3.1294727990509828E-3</v>
      </c>
      <c r="G126" s="4">
        <v>6.8816858399668446E-3</v>
      </c>
      <c r="H126" s="4">
        <v>4.8077437535708981E-3</v>
      </c>
      <c r="I126" s="4">
        <v>1.3551177070645945E-2</v>
      </c>
      <c r="J126" s="4">
        <v>2.7763285108214387E-3</v>
      </c>
      <c r="K126" s="4">
        <v>5.7013682568309793E-3</v>
      </c>
      <c r="L126" s="4">
        <v>2.7568097504180409E-3</v>
      </c>
      <c r="M126" s="4">
        <v>1.8082035283673193E-3</v>
      </c>
    </row>
    <row r="127" spans="3:13" x14ac:dyDescent="0.25">
      <c r="C127" s="13"/>
      <c r="F127" s="4"/>
      <c r="G127" s="4"/>
      <c r="H127" s="4"/>
      <c r="I127" s="4"/>
      <c r="J127" s="4"/>
      <c r="K127" s="4"/>
      <c r="L127" s="4"/>
      <c r="M127" s="4"/>
    </row>
    <row r="128" spans="3:13" x14ac:dyDescent="0.25">
      <c r="C128" s="13"/>
      <c r="D128" s="14" t="s">
        <v>3</v>
      </c>
      <c r="E128" t="s">
        <v>47</v>
      </c>
      <c r="F128" s="4">
        <v>1.7281203661782306E-3</v>
      </c>
      <c r="G128" s="4">
        <v>8.9666047085839337E-4</v>
      </c>
      <c r="H128" s="4">
        <v>1.5576905982896774E-3</v>
      </c>
      <c r="I128" s="4">
        <v>9.987992791347048E-4</v>
      </c>
      <c r="J128" s="4">
        <v>7.1008168544189499E-3</v>
      </c>
      <c r="K128" s="4">
        <v>1.8443427013437525E-3</v>
      </c>
      <c r="L128" s="4">
        <v>1.4636939570825615E-3</v>
      </c>
      <c r="M128" s="4">
        <v>2.5726251184344674E-3</v>
      </c>
    </row>
    <row r="129" spans="3:22" x14ac:dyDescent="0.25">
      <c r="C129" s="13"/>
      <c r="D129" s="14"/>
      <c r="E129" t="s">
        <v>48</v>
      </c>
      <c r="F129" s="4">
        <v>4.3706292453147E-3</v>
      </c>
      <c r="G129" s="4">
        <v>1.9390719429665241E-4</v>
      </c>
      <c r="H129" s="4">
        <v>1.1774548823628354E-3</v>
      </c>
      <c r="I129" s="4">
        <v>2.1683173199511185E-3</v>
      </c>
      <c r="J129" s="4">
        <v>5.0334878563477285E-3</v>
      </c>
      <c r="K129" s="4">
        <v>3.0401315760999561E-3</v>
      </c>
      <c r="L129" s="4">
        <v>4.3287873590649086E-3</v>
      </c>
      <c r="M129" s="4">
        <v>2.9579722784367061E-3</v>
      </c>
    </row>
    <row r="130" spans="3:22" x14ac:dyDescent="0.25">
      <c r="C130" s="13"/>
      <c r="F130" s="4"/>
      <c r="G130" s="4"/>
      <c r="H130" s="4"/>
      <c r="I130" s="4"/>
      <c r="J130" s="4"/>
      <c r="K130" s="4"/>
      <c r="L130" s="4"/>
      <c r="M130" s="4"/>
    </row>
    <row r="131" spans="3:22" x14ac:dyDescent="0.25">
      <c r="C131" s="13"/>
      <c r="D131" s="14" t="s">
        <v>8</v>
      </c>
      <c r="E131" t="s">
        <v>47</v>
      </c>
      <c r="F131" s="4">
        <v>2.3370066324253282E-3</v>
      </c>
      <c r="G131" s="4">
        <v>2.9288905749447289E-3</v>
      </c>
      <c r="H131" s="4">
        <v>5.9799665550904109E-4</v>
      </c>
      <c r="I131" s="4">
        <v>2.5741794809220333E-3</v>
      </c>
      <c r="J131" s="4">
        <v>9.0244113381427707E-4</v>
      </c>
      <c r="K131" s="4">
        <v>2.1868699092538711E-3</v>
      </c>
      <c r="L131" s="4">
        <v>1.4051334456200272E-3</v>
      </c>
      <c r="M131" s="4">
        <v>7.5803957680321849E-3</v>
      </c>
    </row>
    <row r="132" spans="3:22" x14ac:dyDescent="0.25">
      <c r="C132" s="13"/>
      <c r="D132" s="14"/>
      <c r="E132" t="s">
        <v>48</v>
      </c>
      <c r="F132" s="4">
        <v>1.4034243834279054E-3</v>
      </c>
      <c r="G132" s="4">
        <v>9.1575979383242256E-3</v>
      </c>
      <c r="H132" s="4">
        <v>1.1892854997854838E-3</v>
      </c>
      <c r="I132" s="4">
        <v>2.1039011383618008E-3</v>
      </c>
      <c r="J132" s="4">
        <v>3.4550832117331092E-3</v>
      </c>
      <c r="K132" s="4">
        <v>6.0246161703464574E-3</v>
      </c>
      <c r="L132" s="4">
        <v>1.643897807042768E-3</v>
      </c>
      <c r="M132" s="4">
        <v>4.0656610778568554E-3</v>
      </c>
    </row>
    <row r="133" spans="3:22" x14ac:dyDescent="0.25">
      <c r="C133" s="13"/>
      <c r="F133" s="4"/>
      <c r="G133" s="4"/>
      <c r="H133" s="4"/>
      <c r="I133" s="4"/>
      <c r="J133" s="4"/>
      <c r="K133" s="4"/>
      <c r="L133" s="4"/>
      <c r="M133" s="4"/>
    </row>
    <row r="134" spans="3:22" x14ac:dyDescent="0.25">
      <c r="C134" s="13"/>
      <c r="D134" s="14" t="s">
        <v>9</v>
      </c>
      <c r="E134" t="s">
        <v>47</v>
      </c>
      <c r="F134" s="4">
        <v>1.7130090484290977E-3</v>
      </c>
      <c r="G134" s="4">
        <v>1.655294535724693E-3</v>
      </c>
      <c r="H134" s="4">
        <v>1.3804347141390047E-3</v>
      </c>
      <c r="I134" s="4">
        <v>1.6666133324799717E-3</v>
      </c>
      <c r="J134" s="4">
        <v>2.5716920499935557E-3</v>
      </c>
      <c r="K134" s="4">
        <v>1.8946239732464054E-3</v>
      </c>
      <c r="L134" s="4">
        <v>1.0998181667894074E-3</v>
      </c>
      <c r="M134" s="4">
        <v>1.5317963311093329E-3</v>
      </c>
    </row>
    <row r="135" spans="3:22" x14ac:dyDescent="0.25">
      <c r="C135" s="13"/>
      <c r="D135" s="14"/>
      <c r="E135" t="s">
        <v>48</v>
      </c>
      <c r="F135" s="4">
        <v>1.4601369798755202E-3</v>
      </c>
      <c r="G135" s="4">
        <v>1.9047309521294581E-3</v>
      </c>
      <c r="H135" s="4">
        <v>6.2036763294034125E-3</v>
      </c>
      <c r="I135" s="4">
        <v>2.1592591322025256E-3</v>
      </c>
      <c r="J135" s="4">
        <v>2.5207935258564568E-3</v>
      </c>
      <c r="K135" s="4">
        <v>8.110092477894449E-3</v>
      </c>
      <c r="L135" s="4">
        <v>1.8341210428976505E-3</v>
      </c>
      <c r="M135" s="4">
        <v>9.0371234361382932E-3</v>
      </c>
    </row>
    <row r="136" spans="3:22" x14ac:dyDescent="0.25">
      <c r="C136" s="13"/>
      <c r="F136" s="4"/>
      <c r="G136" s="4"/>
      <c r="H136" s="4"/>
      <c r="I136" s="4"/>
      <c r="J136" s="4"/>
      <c r="K136" s="4"/>
      <c r="L136" s="4"/>
      <c r="M136" s="4"/>
    </row>
    <row r="137" spans="3:22" x14ac:dyDescent="0.25">
      <c r="C137" s="13"/>
      <c r="D137" s="14" t="s">
        <v>10</v>
      </c>
      <c r="E137" t="s">
        <v>47</v>
      </c>
      <c r="F137" s="4">
        <v>1.1124747188138819E-3</v>
      </c>
      <c r="G137" s="4">
        <v>3.9154054707015839E-3</v>
      </c>
      <c r="H137" s="4">
        <v>5.7480431452799593E-4</v>
      </c>
      <c r="I137" s="4">
        <v>4.7343003706989397E-3</v>
      </c>
      <c r="J137" s="4">
        <v>1.6292329483533026E-3</v>
      </c>
      <c r="K137" s="4">
        <v>1.1702991070662054E-3</v>
      </c>
      <c r="L137" s="4">
        <v>3.9698866482558404E-4</v>
      </c>
      <c r="M137" s="4">
        <v>6.8787789614146054E-3</v>
      </c>
    </row>
    <row r="138" spans="3:22" x14ac:dyDescent="0.25">
      <c r="C138" s="13"/>
      <c r="D138" s="14"/>
      <c r="E138" t="s">
        <v>48</v>
      </c>
      <c r="F138" s="4">
        <v>1.4606847709208155E-3</v>
      </c>
      <c r="G138" s="4">
        <v>1.8378248012255987E-3</v>
      </c>
      <c r="H138" s="4">
        <v>9.4783964888582172E-4</v>
      </c>
      <c r="I138" s="4">
        <v>3.8567343699041482E-3</v>
      </c>
      <c r="J138" s="4">
        <v>1.9425756098540915E-3</v>
      </c>
      <c r="K138" s="4">
        <v>3.1164081889252086E-3</v>
      </c>
      <c r="L138" s="4">
        <v>4.4786605140376568E-3</v>
      </c>
      <c r="M138" s="4">
        <v>1.2584530185906835E-2</v>
      </c>
    </row>
    <row r="139" spans="3:22" x14ac:dyDescent="0.25">
      <c r="C139" s="13"/>
      <c r="F139" s="4"/>
      <c r="G139" s="4"/>
      <c r="H139" s="4"/>
      <c r="I139" s="4"/>
      <c r="J139" s="4"/>
      <c r="K139" s="4"/>
      <c r="L139" s="4"/>
      <c r="M139" s="4"/>
    </row>
    <row r="140" spans="3:22" x14ac:dyDescent="0.25">
      <c r="C140" s="13"/>
      <c r="D140" s="14" t="s">
        <v>11</v>
      </c>
      <c r="E140" t="s">
        <v>47</v>
      </c>
      <c r="F140" s="4">
        <v>2.4979991993594929E-4</v>
      </c>
      <c r="G140" s="4">
        <v>1.0373041983911912E-3</v>
      </c>
      <c r="H140" s="4">
        <v>8.822698000044818E-4</v>
      </c>
      <c r="I140" s="4">
        <v>1.7267310155319505E-3</v>
      </c>
      <c r="J140" s="4">
        <v>4.3556859390915517E-3</v>
      </c>
      <c r="K140" s="4">
        <v>6.418722614352474E-4</v>
      </c>
      <c r="L140" s="4">
        <v>9.9317672143484016E-4</v>
      </c>
      <c r="M140" s="4">
        <v>2.8572714256787056E-3</v>
      </c>
    </row>
    <row r="141" spans="3:22" x14ac:dyDescent="0.25">
      <c r="C141" s="13"/>
      <c r="D141" s="14"/>
      <c r="E141" t="s">
        <v>48</v>
      </c>
      <c r="F141" s="4">
        <v>1.8895502110290888E-3</v>
      </c>
      <c r="G141" s="4">
        <v>3.3422148345072064E-3</v>
      </c>
      <c r="H141" s="4">
        <v>1.3705473359209195E-3</v>
      </c>
      <c r="I141" s="4">
        <v>1.0276186062932132E-3</v>
      </c>
      <c r="J141" s="4">
        <v>4.3573386372876529E-3</v>
      </c>
      <c r="K141" s="4">
        <v>1.2172099243762343E-3</v>
      </c>
      <c r="L141" s="4">
        <v>1.7679366504487601E-3</v>
      </c>
      <c r="M141" s="4">
        <v>6.3879261110316591E-3</v>
      </c>
      <c r="T141" s="4"/>
    </row>
    <row r="142" spans="3:22" x14ac:dyDescent="0.25">
      <c r="C142" s="13"/>
      <c r="F142" s="4"/>
      <c r="G142" s="4"/>
      <c r="H142" s="4"/>
      <c r="I142" s="4"/>
      <c r="J142" s="4"/>
      <c r="K142" s="4"/>
      <c r="L142" s="4"/>
      <c r="M142" s="4"/>
      <c r="V142" s="5"/>
    </row>
    <row r="143" spans="3:22" x14ac:dyDescent="0.25">
      <c r="C143" s="13"/>
      <c r="D143" s="14" t="s">
        <v>12</v>
      </c>
      <c r="E143" t="s">
        <v>47</v>
      </c>
      <c r="F143" s="4">
        <v>1.6265300489077931E-3</v>
      </c>
      <c r="G143" s="4">
        <v>1.2846789482201402E-3</v>
      </c>
      <c r="H143" s="4">
        <v>5.4990908339470196E-4</v>
      </c>
      <c r="I143" s="4">
        <v>4.1602884515379371E-3</v>
      </c>
      <c r="J143" s="4">
        <v>2.0711349545599338E-3</v>
      </c>
      <c r="K143" s="4">
        <v>1.7554486605993183E-3</v>
      </c>
      <c r="L143" s="4">
        <v>9.5372952140530972E-4</v>
      </c>
      <c r="M143" s="4">
        <v>3.3931696096717884E-3</v>
      </c>
      <c r="T143" s="4"/>
    </row>
    <row r="144" spans="3:22" x14ac:dyDescent="0.25">
      <c r="C144" s="13"/>
      <c r="D144" s="14"/>
      <c r="E144" t="s">
        <v>48</v>
      </c>
      <c r="F144" s="4">
        <v>2.494473892427023E-3</v>
      </c>
      <c r="G144" s="4">
        <v>1.1105746260382495E-2</v>
      </c>
      <c r="H144" s="4">
        <v>4.0157689176545039E-3</v>
      </c>
      <c r="I144" s="4">
        <v>4.3518272024518556E-3</v>
      </c>
      <c r="J144" s="4">
        <v>2.0085815890822007E-3</v>
      </c>
      <c r="K144" s="4">
        <v>2.1000952359357481E-3</v>
      </c>
      <c r="L144" s="4">
        <v>1.0287856919689341E-3</v>
      </c>
      <c r="M144" s="4">
        <v>1.2706155988338875E-2</v>
      </c>
    </row>
    <row r="145" spans="3:13" x14ac:dyDescent="0.25">
      <c r="C145" s="13"/>
      <c r="F145" s="4"/>
      <c r="G145" s="4"/>
      <c r="H145" s="4"/>
      <c r="I145" s="4"/>
      <c r="J145" s="4"/>
      <c r="K145" s="4"/>
      <c r="L145" s="4"/>
      <c r="M145" s="4"/>
    </row>
    <row r="146" spans="3:13" x14ac:dyDescent="0.25">
      <c r="C146" s="13"/>
      <c r="D146" s="14" t="s">
        <v>13</v>
      </c>
      <c r="E146" t="s">
        <v>47</v>
      </c>
      <c r="F146" s="4">
        <v>7.9145435749636761E-4</v>
      </c>
      <c r="G146" s="4">
        <v>3.1260198335903047E-3</v>
      </c>
      <c r="H146" s="4">
        <v>7.5630681604758388E-4</v>
      </c>
      <c r="I146" s="4">
        <v>1.6702095676890377E-3</v>
      </c>
      <c r="J146" s="4">
        <v>2.8854115824263403E-3</v>
      </c>
      <c r="K146" s="4">
        <v>2.3337523433303851E-3</v>
      </c>
      <c r="L146" s="4">
        <v>1.8956792977716512E-3</v>
      </c>
      <c r="M146" s="4">
        <v>7.8587530817553891E-4</v>
      </c>
    </row>
    <row r="147" spans="3:13" x14ac:dyDescent="0.25">
      <c r="C147" s="13"/>
      <c r="D147" s="14"/>
      <c r="E147" t="s">
        <v>48</v>
      </c>
      <c r="F147" s="4">
        <v>6.0133185513491652E-4</v>
      </c>
      <c r="G147" s="4">
        <v>5.44007352891486E-3</v>
      </c>
      <c r="H147" s="4">
        <v>2.6194655943531536E-3</v>
      </c>
      <c r="I147" s="4">
        <v>2.9736173257499036E-3</v>
      </c>
      <c r="J147" s="4">
        <v>3.2891336245278904E-3</v>
      </c>
      <c r="K147" s="4">
        <v>2.1497906874856595E-3</v>
      </c>
      <c r="L147" s="4">
        <v>4.5674500544614751E-3</v>
      </c>
      <c r="M147" s="4">
        <v>2.9628364787817759E-3</v>
      </c>
    </row>
  </sheetData>
  <mergeCells count="14">
    <mergeCell ref="F123:M123"/>
    <mergeCell ref="C125:C147"/>
    <mergeCell ref="D125:D126"/>
    <mergeCell ref="D128:D129"/>
    <mergeCell ref="D131:D132"/>
    <mergeCell ref="D134:D135"/>
    <mergeCell ref="D137:D138"/>
    <mergeCell ref="D140:D141"/>
    <mergeCell ref="D143:D144"/>
    <mergeCell ref="D146:D147"/>
    <mergeCell ref="C112:C113"/>
    <mergeCell ref="C114:C115"/>
    <mergeCell ref="C116:C117"/>
    <mergeCell ref="C118:C1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DF8CA-A42C-47A9-BD33-62E9A85B18A4}">
  <dimension ref="A2:AI33"/>
  <sheetViews>
    <sheetView topLeftCell="G1" workbookViewId="0">
      <selection activeCell="AH5" activeCellId="1" sqref="AF5:AF19 AH5:AH19"/>
    </sheetView>
  </sheetViews>
  <sheetFormatPr defaultRowHeight="15" x14ac:dyDescent="0.25"/>
  <sheetData>
    <row r="2" spans="1:35" x14ac:dyDescent="0.25">
      <c r="AF2" s="12" t="s">
        <v>49</v>
      </c>
      <c r="AG2" s="12"/>
      <c r="AH2" s="12"/>
      <c r="AI2" s="12"/>
    </row>
    <row r="3" spans="1:35" x14ac:dyDescent="0.25">
      <c r="A3">
        <v>1</v>
      </c>
      <c r="B3" t="s">
        <v>0</v>
      </c>
      <c r="D3" t="s">
        <v>1</v>
      </c>
      <c r="E3">
        <v>1.5264</v>
      </c>
      <c r="F3">
        <v>1.0866</v>
      </c>
      <c r="G3" t="s">
        <v>2</v>
      </c>
      <c r="H3">
        <v>0</v>
      </c>
      <c r="I3">
        <v>0</v>
      </c>
      <c r="AF3" s="12" t="s">
        <v>50</v>
      </c>
      <c r="AG3" s="12"/>
      <c r="AH3" s="12" t="s">
        <v>51</v>
      </c>
      <c r="AI3" s="12"/>
    </row>
    <row r="4" spans="1:35" x14ac:dyDescent="0.25">
      <c r="A4" s="8">
        <f>A3+1</f>
        <v>2</v>
      </c>
      <c r="B4" t="s">
        <v>0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AF4" t="s">
        <v>47</v>
      </c>
      <c r="AG4" t="s">
        <v>48</v>
      </c>
      <c r="AH4" t="s">
        <v>47</v>
      </c>
      <c r="AI4" t="s">
        <v>48</v>
      </c>
    </row>
    <row r="5" spans="1:35" x14ac:dyDescent="0.25">
      <c r="A5" s="8">
        <f t="shared" ref="A5:A19" si="0">A4+1</f>
        <v>3</v>
      </c>
      <c r="B5" t="s">
        <v>0</v>
      </c>
      <c r="J5" t="s">
        <v>8</v>
      </c>
      <c r="K5">
        <v>0.28120000000000001</v>
      </c>
      <c r="L5">
        <v>0.247</v>
      </c>
      <c r="M5" t="s">
        <v>9</v>
      </c>
      <c r="N5">
        <v>0.79710000000000003</v>
      </c>
      <c r="O5">
        <v>0.5988</v>
      </c>
      <c r="P5" t="s">
        <v>10</v>
      </c>
      <c r="Q5">
        <v>0.28389999999999999</v>
      </c>
      <c r="R5">
        <v>0.2535</v>
      </c>
      <c r="S5" t="s">
        <v>11</v>
      </c>
      <c r="T5">
        <v>0.79330000000000001</v>
      </c>
      <c r="U5">
        <v>0.59589999999999999</v>
      </c>
      <c r="V5" t="s">
        <v>12</v>
      </c>
      <c r="W5">
        <v>0.28370000000000001</v>
      </c>
      <c r="X5">
        <v>0.24379999999999999</v>
      </c>
      <c r="Y5" t="s">
        <v>13</v>
      </c>
      <c r="Z5">
        <v>0.79220000000000002</v>
      </c>
      <c r="AA5">
        <v>0.59540000000000004</v>
      </c>
      <c r="AD5" s="13" t="s">
        <v>52</v>
      </c>
      <c r="AE5" t="s">
        <v>3</v>
      </c>
      <c r="AF5" s="9">
        <f>_xlfn.STDEV.P(E5,K5,Q5,W5)</f>
        <v>1.2283683848458805E-3</v>
      </c>
      <c r="AG5" s="9">
        <f>_xlfn.STDEV.P(F5,L5,R5,X5)</f>
        <v>4.0356742518031247E-3</v>
      </c>
      <c r="AH5" s="9">
        <f>_xlfn.STDEV.P(H5,N5,T5,Z5)</f>
        <v>2.0992061991778471E-3</v>
      </c>
      <c r="AI5" s="9">
        <f>_xlfn.STDEV.P(I5,O5,U5,AA5)</f>
        <v>1.4988884770611316E-3</v>
      </c>
    </row>
    <row r="6" spans="1:35" x14ac:dyDescent="0.25">
      <c r="A6" s="8">
        <f t="shared" si="0"/>
        <v>4</v>
      </c>
      <c r="B6" t="s">
        <v>0</v>
      </c>
      <c r="C6" t="s">
        <v>8</v>
      </c>
      <c r="D6" t="s">
        <v>4</v>
      </c>
      <c r="E6" t="s">
        <v>5</v>
      </c>
      <c r="F6" t="s">
        <v>3</v>
      </c>
      <c r="G6" t="s">
        <v>7</v>
      </c>
      <c r="AD6" s="13"/>
      <c r="AF6" s="9"/>
      <c r="AG6" s="9"/>
      <c r="AH6" s="9"/>
      <c r="AI6" s="9"/>
    </row>
    <row r="7" spans="1:35" x14ac:dyDescent="0.25">
      <c r="A7" s="8">
        <f t="shared" si="0"/>
        <v>5</v>
      </c>
      <c r="B7" t="s">
        <v>0</v>
      </c>
      <c r="D7" t="s">
        <v>6</v>
      </c>
      <c r="E7">
        <v>0.879</v>
      </c>
      <c r="F7">
        <v>0.65620000000000001</v>
      </c>
      <c r="M7" t="s">
        <v>9</v>
      </c>
      <c r="N7">
        <v>0.36840000000000001</v>
      </c>
      <c r="O7">
        <v>0.3206</v>
      </c>
      <c r="P7" t="s">
        <v>10</v>
      </c>
      <c r="Q7">
        <v>0.88449999999999995</v>
      </c>
      <c r="R7">
        <v>0.65920000000000001</v>
      </c>
      <c r="S7" t="s">
        <v>11</v>
      </c>
      <c r="T7">
        <v>0.36990000000000001</v>
      </c>
      <c r="U7">
        <v>0.32740000000000002</v>
      </c>
      <c r="V7" t="s">
        <v>12</v>
      </c>
      <c r="W7">
        <v>0.87360000000000004</v>
      </c>
      <c r="X7">
        <v>0.63560000000000005</v>
      </c>
      <c r="Y7" t="s">
        <v>13</v>
      </c>
      <c r="Z7">
        <v>0.372</v>
      </c>
      <c r="AA7">
        <v>0.32629999999999998</v>
      </c>
      <c r="AD7" s="13"/>
      <c r="AE7" t="s">
        <v>8</v>
      </c>
      <c r="AF7" s="9">
        <f t="shared" ref="AF7:AG19" si="1">_xlfn.STDEV.P(E7,K7,Q7,W7)</f>
        <v>4.4499687889042426E-3</v>
      </c>
      <c r="AG7" s="9">
        <f>_xlfn.STDEV.P(F7,L7,R7,X7)</f>
        <v>1.0489783389353429E-2</v>
      </c>
      <c r="AH7" s="9">
        <f t="shared" ref="AH7:AI19" si="2">_xlfn.STDEV.P(H7,N7,T7,Z7)</f>
        <v>1.4764823060233365E-3</v>
      </c>
      <c r="AI7" s="9">
        <f t="shared" si="2"/>
        <v>2.9803057263009538E-3</v>
      </c>
    </row>
    <row r="8" spans="1:35" x14ac:dyDescent="0.25">
      <c r="A8" s="8">
        <f t="shared" si="0"/>
        <v>6</v>
      </c>
      <c r="B8" t="s">
        <v>0</v>
      </c>
      <c r="C8" t="s">
        <v>9</v>
      </c>
      <c r="D8" t="s">
        <v>4</v>
      </c>
      <c r="E8" t="s">
        <v>5</v>
      </c>
      <c r="F8" t="s">
        <v>8</v>
      </c>
      <c r="G8" t="s">
        <v>7</v>
      </c>
      <c r="AD8" s="13"/>
      <c r="AF8" s="9"/>
      <c r="AG8" s="9"/>
      <c r="AH8" s="9"/>
      <c r="AI8" s="9"/>
    </row>
    <row r="9" spans="1:35" x14ac:dyDescent="0.25">
      <c r="A9" s="8">
        <f t="shared" si="0"/>
        <v>7</v>
      </c>
      <c r="B9" t="s">
        <v>0</v>
      </c>
      <c r="D9" t="s">
        <v>6</v>
      </c>
      <c r="E9">
        <v>0.182</v>
      </c>
      <c r="F9">
        <v>0.1653</v>
      </c>
      <c r="G9" t="s">
        <v>3</v>
      </c>
      <c r="H9">
        <v>0.69940000000000002</v>
      </c>
      <c r="I9">
        <v>0.53049999999999997</v>
      </c>
      <c r="P9" t="s">
        <v>10</v>
      </c>
      <c r="Q9">
        <v>0.18579999999999999</v>
      </c>
      <c r="R9">
        <v>0.17269999999999999</v>
      </c>
      <c r="S9" t="s">
        <v>11</v>
      </c>
      <c r="T9">
        <v>0.69510000000000005</v>
      </c>
      <c r="U9">
        <v>0.52700000000000002</v>
      </c>
      <c r="V9" t="s">
        <v>12</v>
      </c>
      <c r="W9">
        <v>0.18740000000000001</v>
      </c>
      <c r="X9">
        <v>0.16289999999999999</v>
      </c>
      <c r="Y9" t="s">
        <v>13</v>
      </c>
      <c r="Z9">
        <v>0.69589999999999996</v>
      </c>
      <c r="AA9">
        <v>0.52080000000000004</v>
      </c>
      <c r="AD9" s="13"/>
      <c r="AE9" t="s">
        <v>9</v>
      </c>
      <c r="AF9" s="9">
        <f t="shared" si="1"/>
        <v>2.2647050335284089E-3</v>
      </c>
      <c r="AG9" s="9">
        <f t="shared" si="1"/>
        <v>4.1707979518978804E-3</v>
      </c>
      <c r="AH9" s="9">
        <f t="shared" si="2"/>
        <v>1.8672618098881228E-3</v>
      </c>
      <c r="AI9" s="9">
        <f t="shared" si="2"/>
        <v>4.0108187027920444E-3</v>
      </c>
    </row>
    <row r="10" spans="1:35" x14ac:dyDescent="0.25">
      <c r="A10" s="8">
        <f t="shared" si="0"/>
        <v>8</v>
      </c>
      <c r="B10" t="s">
        <v>0</v>
      </c>
      <c r="C10" t="s">
        <v>10</v>
      </c>
      <c r="D10" t="s">
        <v>4</v>
      </c>
      <c r="E10" t="s">
        <v>5</v>
      </c>
      <c r="F10" t="s">
        <v>9</v>
      </c>
      <c r="G10" t="s">
        <v>7</v>
      </c>
      <c r="AD10" s="13"/>
      <c r="AF10" s="9"/>
      <c r="AG10" s="9"/>
      <c r="AH10" s="9"/>
      <c r="AI10" s="9"/>
    </row>
    <row r="11" spans="1:35" x14ac:dyDescent="0.25">
      <c r="A11" s="8">
        <f t="shared" si="0"/>
        <v>9</v>
      </c>
      <c r="B11" t="s">
        <v>0</v>
      </c>
      <c r="D11" t="s">
        <v>6</v>
      </c>
      <c r="E11">
        <v>0.753</v>
      </c>
      <c r="F11">
        <v>0.57630000000000003</v>
      </c>
      <c r="G11" t="s">
        <v>3</v>
      </c>
      <c r="H11">
        <v>0.23369999999999999</v>
      </c>
      <c r="I11">
        <v>0.2024</v>
      </c>
      <c r="J11" t="s">
        <v>8</v>
      </c>
      <c r="K11">
        <v>0.74119999999999997</v>
      </c>
      <c r="L11">
        <v>0.55079999999999996</v>
      </c>
      <c r="S11" t="s">
        <v>11</v>
      </c>
      <c r="T11">
        <v>0.23319999999999999</v>
      </c>
      <c r="U11">
        <v>0.20610000000000001</v>
      </c>
      <c r="V11" t="s">
        <v>12</v>
      </c>
      <c r="W11">
        <v>0.74209999999999998</v>
      </c>
      <c r="X11">
        <v>0.55159999999999998</v>
      </c>
      <c r="Y11" t="s">
        <v>13</v>
      </c>
      <c r="Z11">
        <v>0.2316</v>
      </c>
      <c r="AA11">
        <v>0.2185</v>
      </c>
      <c r="AD11" s="13"/>
      <c r="AE11" t="s">
        <v>10</v>
      </c>
      <c r="AF11" s="9">
        <f t="shared" si="1"/>
        <v>5.3630422543759953E-3</v>
      </c>
      <c r="AG11" s="9">
        <f>_xlfn.STDEV.P(F11,L11,R11,X11)</f>
        <v>1.1836760067218123E-2</v>
      </c>
      <c r="AH11" s="9">
        <f t="shared" si="2"/>
        <v>8.9566858950295585E-4</v>
      </c>
      <c r="AI11" s="9">
        <f t="shared" si="2"/>
        <v>6.8852499349454747E-3</v>
      </c>
    </row>
    <row r="12" spans="1:35" x14ac:dyDescent="0.25">
      <c r="A12" s="8">
        <f t="shared" si="0"/>
        <v>10</v>
      </c>
      <c r="B12" t="s">
        <v>0</v>
      </c>
      <c r="C12" t="s">
        <v>11</v>
      </c>
      <c r="D12" t="s">
        <v>4</v>
      </c>
      <c r="E12" t="s">
        <v>5</v>
      </c>
      <c r="F12" t="s">
        <v>10</v>
      </c>
      <c r="G12" t="s">
        <v>7</v>
      </c>
      <c r="AD12" s="13"/>
      <c r="AF12" s="9"/>
      <c r="AG12" s="9"/>
      <c r="AH12" s="9"/>
      <c r="AI12" s="9"/>
    </row>
    <row r="13" spans="1:35" x14ac:dyDescent="0.25">
      <c r="A13" s="8">
        <f t="shared" si="0"/>
        <v>11</v>
      </c>
      <c r="B13" t="s">
        <v>0</v>
      </c>
      <c r="D13" t="s">
        <v>6</v>
      </c>
      <c r="E13">
        <v>0.2442</v>
      </c>
      <c r="F13">
        <v>0.22040000000000001</v>
      </c>
      <c r="G13" t="s">
        <v>3</v>
      </c>
      <c r="H13">
        <v>0.74909999999999999</v>
      </c>
      <c r="I13">
        <v>0.57679999999999998</v>
      </c>
      <c r="J13" t="s">
        <v>8</v>
      </c>
      <c r="K13">
        <v>0.24360000000000001</v>
      </c>
      <c r="L13">
        <v>0.21390000000000001</v>
      </c>
      <c r="M13" t="s">
        <v>9</v>
      </c>
      <c r="N13">
        <v>0.75890000000000002</v>
      </c>
      <c r="O13">
        <v>0.57010000000000005</v>
      </c>
      <c r="V13" t="s">
        <v>12</v>
      </c>
      <c r="W13">
        <v>0.24510000000000001</v>
      </c>
      <c r="X13">
        <v>0.22020000000000001</v>
      </c>
      <c r="Y13" t="s">
        <v>13</v>
      </c>
      <c r="Z13">
        <v>0.75649999999999995</v>
      </c>
      <c r="AA13">
        <v>0.56689999999999996</v>
      </c>
      <c r="AD13" s="13"/>
      <c r="AE13" t="s">
        <v>11</v>
      </c>
      <c r="AF13" s="9">
        <f t="shared" si="1"/>
        <v>6.1644140029689883E-4</v>
      </c>
      <c r="AG13" s="9">
        <f t="shared" si="1"/>
        <v>3.0180935851773874E-3</v>
      </c>
      <c r="AH13" s="9">
        <f t="shared" si="2"/>
        <v>4.1707979518978856E-3</v>
      </c>
      <c r="AI13" s="9">
        <f t="shared" si="2"/>
        <v>4.1249915824829947E-3</v>
      </c>
    </row>
    <row r="14" spans="1:35" x14ac:dyDescent="0.25">
      <c r="A14" s="8">
        <f t="shared" si="0"/>
        <v>12</v>
      </c>
      <c r="B14" t="s">
        <v>0</v>
      </c>
      <c r="C14" t="s">
        <v>12</v>
      </c>
      <c r="D14" t="s">
        <v>4</v>
      </c>
      <c r="E14" t="s">
        <v>5</v>
      </c>
      <c r="F14" t="s">
        <v>11</v>
      </c>
      <c r="G14" t="s">
        <v>7</v>
      </c>
      <c r="AD14" s="13"/>
      <c r="AF14" s="9"/>
      <c r="AG14" s="9"/>
      <c r="AH14" s="9"/>
      <c r="AI14" s="9"/>
    </row>
    <row r="15" spans="1:35" x14ac:dyDescent="0.25">
      <c r="A15" s="8">
        <f t="shared" si="0"/>
        <v>13</v>
      </c>
      <c r="B15" t="s">
        <v>0</v>
      </c>
      <c r="D15" t="s">
        <v>6</v>
      </c>
      <c r="E15">
        <v>0.85670000000000002</v>
      </c>
      <c r="F15">
        <v>0.64359999999999995</v>
      </c>
      <c r="G15" t="s">
        <v>3</v>
      </c>
      <c r="H15">
        <v>0.34499999999999997</v>
      </c>
      <c r="I15">
        <v>0.30430000000000001</v>
      </c>
      <c r="J15" t="s">
        <v>8</v>
      </c>
      <c r="K15">
        <v>0.85489999999999999</v>
      </c>
      <c r="L15">
        <v>0.64139999999999997</v>
      </c>
      <c r="M15" t="s">
        <v>9</v>
      </c>
      <c r="N15">
        <v>0.34620000000000001</v>
      </c>
      <c r="O15">
        <v>0.30359999999999998</v>
      </c>
      <c r="P15" t="s">
        <v>10</v>
      </c>
      <c r="Q15">
        <v>0.85640000000000005</v>
      </c>
      <c r="R15">
        <v>0.64329999999999998</v>
      </c>
      <c r="Y15" t="s">
        <v>13</v>
      </c>
      <c r="Z15">
        <v>0.3458</v>
      </c>
      <c r="AA15">
        <v>0.31219999999999998</v>
      </c>
      <c r="AD15" s="13"/>
      <c r="AE15" t="s">
        <v>12</v>
      </c>
      <c r="AF15" s="9">
        <f t="shared" si="1"/>
        <v>7.874007874011978E-4</v>
      </c>
      <c r="AG15" s="9">
        <f t="shared" si="1"/>
        <v>9.7410927974682707E-4</v>
      </c>
      <c r="AH15" s="9">
        <f t="shared" si="2"/>
        <v>4.9888765156987319E-4</v>
      </c>
      <c r="AI15" s="9">
        <f t="shared" si="2"/>
        <v>3.899572626156179E-3</v>
      </c>
    </row>
    <row r="16" spans="1:35" x14ac:dyDescent="0.25">
      <c r="A16" s="8">
        <f t="shared" si="0"/>
        <v>14</v>
      </c>
      <c r="B16" t="s">
        <v>0</v>
      </c>
      <c r="C16" t="s">
        <v>13</v>
      </c>
      <c r="D16" t="s">
        <v>4</v>
      </c>
      <c r="E16" t="s">
        <v>5</v>
      </c>
      <c r="F16" t="s">
        <v>12</v>
      </c>
      <c r="G16" t="s">
        <v>7</v>
      </c>
      <c r="AD16" s="13"/>
      <c r="AF16" s="9"/>
      <c r="AG16" s="9"/>
      <c r="AH16" s="9"/>
      <c r="AI16" s="9"/>
    </row>
    <row r="17" spans="1:35" x14ac:dyDescent="0.25">
      <c r="A17" s="8">
        <f t="shared" si="0"/>
        <v>15</v>
      </c>
      <c r="B17" t="s">
        <v>0</v>
      </c>
      <c r="D17" t="s">
        <v>6</v>
      </c>
      <c r="E17">
        <v>0.17130000000000001</v>
      </c>
      <c r="F17">
        <v>0.1623</v>
      </c>
      <c r="G17" t="s">
        <v>3</v>
      </c>
      <c r="H17">
        <v>0.68200000000000005</v>
      </c>
      <c r="I17">
        <v>0.50439999999999996</v>
      </c>
      <c r="J17" t="s">
        <v>8</v>
      </c>
      <c r="K17">
        <v>0.16789999999999999</v>
      </c>
      <c r="L17">
        <v>0.14979999999999999</v>
      </c>
      <c r="M17" t="s">
        <v>9</v>
      </c>
      <c r="N17">
        <v>0.68230000000000002</v>
      </c>
      <c r="O17">
        <v>0.50639999999999996</v>
      </c>
      <c r="P17" t="s">
        <v>10</v>
      </c>
      <c r="Q17">
        <v>0.16969999999999999</v>
      </c>
      <c r="R17">
        <v>0.15260000000000001</v>
      </c>
      <c r="S17" t="s">
        <v>11</v>
      </c>
      <c r="T17">
        <v>0.67969999999999997</v>
      </c>
      <c r="U17">
        <v>0.50160000000000005</v>
      </c>
      <c r="AD17" s="13"/>
      <c r="AE17" t="s">
        <v>13</v>
      </c>
      <c r="AF17" s="9">
        <f t="shared" si="1"/>
        <v>1.3888444437333161E-3</v>
      </c>
      <c r="AG17" s="9">
        <f t="shared" si="1"/>
        <v>5.3559935275041817E-3</v>
      </c>
      <c r="AH17" s="9">
        <f t="shared" si="2"/>
        <v>1.1614167593456512E-3</v>
      </c>
      <c r="AI17" s="9">
        <f t="shared" si="2"/>
        <v>1.9686430746977505E-3</v>
      </c>
    </row>
    <row r="18" spans="1:35" x14ac:dyDescent="0.25">
      <c r="A18" s="8">
        <f t="shared" si="0"/>
        <v>16</v>
      </c>
      <c r="B18" t="s">
        <v>0</v>
      </c>
      <c r="C18" t="s">
        <v>6</v>
      </c>
      <c r="D18" t="s">
        <v>4</v>
      </c>
      <c r="E18" t="s">
        <v>5</v>
      </c>
      <c r="F18" t="s">
        <v>13</v>
      </c>
      <c r="G18" t="s">
        <v>7</v>
      </c>
      <c r="AD18" s="13"/>
      <c r="AF18" s="9"/>
      <c r="AG18" s="9"/>
      <c r="AH18" s="9"/>
      <c r="AI18" s="9"/>
    </row>
    <row r="19" spans="1:35" x14ac:dyDescent="0.25">
      <c r="A19" s="8">
        <f t="shared" si="0"/>
        <v>17</v>
      </c>
      <c r="B19" t="s">
        <v>0</v>
      </c>
      <c r="G19" t="s">
        <v>3</v>
      </c>
      <c r="H19">
        <v>0.45040000000000002</v>
      </c>
      <c r="I19">
        <v>0.37459999999999999</v>
      </c>
      <c r="J19" t="s">
        <v>8</v>
      </c>
      <c r="K19">
        <v>0.94189999999999996</v>
      </c>
      <c r="L19">
        <v>0.69820000000000004</v>
      </c>
      <c r="M19" t="s">
        <v>9</v>
      </c>
      <c r="N19">
        <v>0.45179999999999998</v>
      </c>
      <c r="O19">
        <v>0.39300000000000002</v>
      </c>
      <c r="P19" t="s">
        <v>10</v>
      </c>
      <c r="Q19">
        <v>0.9466</v>
      </c>
      <c r="R19">
        <v>0.71779999999999999</v>
      </c>
      <c r="S19" t="s">
        <v>11</v>
      </c>
      <c r="T19">
        <v>0.44869999999999999</v>
      </c>
      <c r="U19">
        <v>0.38740000000000002</v>
      </c>
      <c r="V19" t="s">
        <v>12</v>
      </c>
      <c r="W19">
        <v>0.95109999999999995</v>
      </c>
      <c r="X19">
        <v>0.7056</v>
      </c>
      <c r="AD19" s="13"/>
      <c r="AE19" t="s">
        <v>53</v>
      </c>
      <c r="AF19" s="9">
        <f t="shared" si="1"/>
        <v>3.7561800927123886E-3</v>
      </c>
      <c r="AG19" s="9">
        <f t="shared" si="1"/>
        <v>8.0812540280990035E-3</v>
      </c>
      <c r="AH19" s="9">
        <f t="shared" si="2"/>
        <v>1.2675435561221005E-3</v>
      </c>
      <c r="AI19" s="9">
        <f t="shared" si="2"/>
        <v>7.7010821750366273E-3</v>
      </c>
    </row>
    <row r="30" spans="1:35" x14ac:dyDescent="0.25">
      <c r="AD30" s="4">
        <v>1.9E-3</v>
      </c>
    </row>
    <row r="31" spans="1:35" x14ac:dyDescent="0.25">
      <c r="AD31" s="4">
        <v>3.5999999999999999E-3</v>
      </c>
    </row>
    <row r="33" spans="29:29" x14ac:dyDescent="0.25">
      <c r="AC33" s="17">
        <f>(AD31-AD30)/AD30</f>
        <v>0.89473684210526316</v>
      </c>
    </row>
  </sheetData>
  <mergeCells count="4">
    <mergeCell ref="AF2:AI2"/>
    <mergeCell ref="AF3:AG3"/>
    <mergeCell ref="AH3:AI3"/>
    <mergeCell ref="AD5:AD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Dado Bruto</vt:lpstr>
      <vt:lpstr>Dados processados</vt:lpstr>
      <vt:lpstr>Config Multisim</vt:lpstr>
      <vt:lpstr>Acurácia</vt:lpstr>
      <vt:lpstr>Acurácia e DP</vt:lpstr>
      <vt:lpstr>DP2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Mirela Tomazini</dc:creator>
  <cp:lastModifiedBy>Mirela Tomazini</cp:lastModifiedBy>
  <dcterms:created xsi:type="dcterms:W3CDTF">2026-03-21T23:30:36Z</dcterms:created>
  <dcterms:modified xsi:type="dcterms:W3CDTF">2026-03-23T06:02:50Z</dcterms:modified>
</cp:coreProperties>
</file>